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ef8dac754791c639/Documents/Projects/"/>
    </mc:Choice>
  </mc:AlternateContent>
  <xr:revisionPtr revIDLastSave="1706" documentId="13_ncr:1_{D5F36114-F850-4553-AFA4-5880D5F76738}" xr6:coauthVersionLast="47" xr6:coauthVersionMax="47" xr10:uidLastSave="{048481D6-15F9-4BB1-A05E-64F3C5BA578F}"/>
  <bookViews>
    <workbookView xWindow="-108" yWindow="-108" windowWidth="23256" windowHeight="12456" activeTab="5" xr2:uid="{D24AA4B4-05AD-4E77-90C6-9BD8BC46B51E}"/>
  </bookViews>
  <sheets>
    <sheet name="TCS Data" sheetId="1" r:id="rId1"/>
    <sheet name="Infosys Data" sheetId="2" r:id="rId2"/>
    <sheet name="Ratio Calculations" sheetId="3" r:id="rId3"/>
    <sheet name="Chart Data Sheet" sheetId="6" r:id="rId4"/>
    <sheet name="Charts" sheetId="4" r:id="rId5"/>
    <sheet name="Insight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 l="1"/>
  <c r="J10" i="3"/>
  <c r="H10" i="3"/>
  <c r="E10" i="3"/>
  <c r="F10" i="3"/>
  <c r="D10" i="3"/>
  <c r="I6" i="3"/>
  <c r="J6" i="3"/>
  <c r="H6" i="3"/>
  <c r="E6" i="3"/>
  <c r="F6" i="3"/>
  <c r="D6" i="3"/>
  <c r="D15" i="3"/>
  <c r="D14" i="3"/>
  <c r="G17" i="2"/>
  <c r="G18" i="2"/>
  <c r="H18" i="2"/>
  <c r="H5" i="2"/>
  <c r="I5" i="2"/>
  <c r="J5" i="2" s="1"/>
  <c r="H6" i="2"/>
  <c r="I6" i="2"/>
  <c r="J6" i="2"/>
  <c r="H7" i="2"/>
  <c r="I7" i="2"/>
  <c r="J7" i="2"/>
  <c r="H8" i="2"/>
  <c r="I8" i="2"/>
  <c r="J8" i="2"/>
  <c r="H9" i="2"/>
  <c r="I9" i="2"/>
  <c r="J9" i="2"/>
  <c r="H10" i="2"/>
  <c r="I10" i="2"/>
  <c r="J10" i="2"/>
  <c r="H12" i="2"/>
  <c r="I12" i="2"/>
  <c r="J12" i="2" s="1"/>
  <c r="H13" i="2"/>
  <c r="I13" i="2"/>
  <c r="J13" i="2"/>
  <c r="H14" i="2"/>
  <c r="I14" i="2"/>
  <c r="J14" i="2"/>
  <c r="H15" i="2"/>
  <c r="I15" i="2"/>
  <c r="J15" i="2" s="1"/>
  <c r="H16" i="2"/>
  <c r="I16" i="2"/>
  <c r="J16" i="2"/>
  <c r="I17" i="2"/>
  <c r="I18" i="2"/>
  <c r="J18" i="2"/>
  <c r="G5" i="2"/>
  <c r="G6" i="2"/>
  <c r="G7" i="2"/>
  <c r="G8" i="2"/>
  <c r="G9" i="2"/>
  <c r="G10" i="2"/>
  <c r="G12" i="2"/>
  <c r="G13" i="2"/>
  <c r="G14" i="2"/>
  <c r="G15" i="2"/>
  <c r="G16" i="2"/>
  <c r="J4" i="2"/>
  <c r="I4" i="2"/>
  <c r="H4" i="2"/>
  <c r="G4" i="2"/>
  <c r="H4" i="1"/>
  <c r="J13" i="1"/>
  <c r="J14" i="1"/>
  <c r="J15" i="1"/>
  <c r="J16" i="1"/>
  <c r="J17" i="1"/>
  <c r="J18" i="1"/>
  <c r="J12" i="1"/>
  <c r="J5" i="1"/>
  <c r="J6" i="1"/>
  <c r="J7" i="1"/>
  <c r="J8" i="1"/>
  <c r="J9" i="1"/>
  <c r="J10" i="1"/>
  <c r="J4" i="1"/>
  <c r="H5" i="1"/>
  <c r="H6" i="1"/>
  <c r="H7" i="1"/>
  <c r="H8" i="1"/>
  <c r="H9" i="1"/>
  <c r="H10" i="1"/>
  <c r="H12" i="1"/>
  <c r="H13" i="1"/>
  <c r="H14" i="1"/>
  <c r="H15" i="1"/>
  <c r="H16" i="1"/>
  <c r="H17" i="1"/>
  <c r="H18" i="1"/>
  <c r="I18" i="1"/>
  <c r="I5" i="1"/>
  <c r="I6" i="1"/>
  <c r="I7" i="1"/>
  <c r="I8" i="1"/>
  <c r="I9" i="1"/>
  <c r="I10" i="1"/>
  <c r="I12" i="1"/>
  <c r="I13" i="1"/>
  <c r="I14" i="1"/>
  <c r="I15" i="1"/>
  <c r="I16" i="1"/>
  <c r="I17" i="1"/>
  <c r="I4" i="1"/>
  <c r="G17" i="1"/>
  <c r="G18" i="1"/>
  <c r="G5" i="1"/>
  <c r="G6" i="1"/>
  <c r="G7" i="1"/>
  <c r="G8" i="1"/>
  <c r="G9" i="1"/>
  <c r="G10" i="1"/>
  <c r="G12" i="1"/>
  <c r="G13" i="1"/>
  <c r="G14" i="1"/>
  <c r="G15" i="1"/>
  <c r="G16" i="1"/>
  <c r="G4" i="1"/>
  <c r="E11" i="3"/>
  <c r="F11" i="3"/>
  <c r="I11" i="3"/>
  <c r="H11" i="3"/>
  <c r="J11" i="3"/>
  <c r="D11" i="3"/>
  <c r="I23" i="3"/>
  <c r="J23" i="3"/>
  <c r="E23" i="3"/>
  <c r="F23" i="3"/>
  <c r="H23" i="3"/>
  <c r="D23" i="3"/>
  <c r="I18" i="3"/>
  <c r="J18" i="3"/>
  <c r="E18" i="3"/>
  <c r="F18" i="3"/>
  <c r="H18" i="3"/>
  <c r="D18" i="3"/>
  <c r="E15" i="3"/>
  <c r="F15" i="3"/>
  <c r="I15" i="3"/>
  <c r="J15" i="3"/>
  <c r="H15" i="3"/>
  <c r="J14" i="3"/>
  <c r="H14" i="3"/>
  <c r="H19" i="3"/>
  <c r="E22" i="3"/>
  <c r="F22" i="3"/>
  <c r="D22" i="3"/>
  <c r="I22" i="3" l="1"/>
  <c r="J22" i="3"/>
  <c r="H22" i="3"/>
  <c r="F7" i="3"/>
  <c r="E7" i="3"/>
  <c r="E14" i="3"/>
  <c r="F8" i="3"/>
  <c r="E19" i="3"/>
  <c r="E9" i="3"/>
  <c r="F14" i="3"/>
  <c r="D8" i="3"/>
  <c r="D19" i="3"/>
  <c r="F9" i="3"/>
  <c r="E8" i="3"/>
  <c r="F19" i="3"/>
  <c r="D9" i="3"/>
  <c r="D7" i="3"/>
  <c r="I14" i="3"/>
  <c r="I9" i="3"/>
  <c r="I8" i="3"/>
  <c r="J8" i="3"/>
  <c r="J9" i="3"/>
  <c r="H7" i="3"/>
  <c r="H9" i="3"/>
  <c r="H8" i="3"/>
  <c r="I19" i="3" l="1"/>
  <c r="I7" i="3"/>
  <c r="J19" i="3"/>
  <c r="J7" i="3"/>
</calcChain>
</file>

<file path=xl/sharedStrings.xml><?xml version="1.0" encoding="utf-8"?>
<sst xmlns="http://schemas.openxmlformats.org/spreadsheetml/2006/main" count="161" uniqueCount="81">
  <si>
    <t>FY23</t>
  </si>
  <si>
    <t>FY24</t>
  </si>
  <si>
    <t>FY25</t>
  </si>
  <si>
    <t>Sales / Revenue</t>
  </si>
  <si>
    <t>Expenses</t>
  </si>
  <si>
    <t>Tax</t>
  </si>
  <si>
    <t>Depreciation</t>
  </si>
  <si>
    <t>Total Assets</t>
  </si>
  <si>
    <t>Total Equity (Reserves + Share Capital)</t>
  </si>
  <si>
    <t>Current Liabilities</t>
  </si>
  <si>
    <t>Return on Equity (ROE) %</t>
  </si>
  <si>
    <t>Return on Capital Employed (ROCE) %</t>
  </si>
  <si>
    <t>Operating Profit</t>
  </si>
  <si>
    <t>Net Profit</t>
  </si>
  <si>
    <t>Interest</t>
  </si>
  <si>
    <t>Debtors</t>
  </si>
  <si>
    <t>Particulars</t>
  </si>
  <si>
    <t>Total Borrowings</t>
  </si>
  <si>
    <t>Current Assets(Other Assets)</t>
  </si>
  <si>
    <t>Infosys Financial Data</t>
  </si>
  <si>
    <t>Ratio Analysis</t>
  </si>
  <si>
    <t>PROFITABILITY RATIOS</t>
  </si>
  <si>
    <t>Net Profit Margin %</t>
  </si>
  <si>
    <t>Return on Assets (ROA) %</t>
  </si>
  <si>
    <t>EBITDA Margin %</t>
  </si>
  <si>
    <t>LIQUIDITY RATIOS</t>
  </si>
  <si>
    <t>Current Ratio</t>
  </si>
  <si>
    <t>Quick Ratio</t>
  </si>
  <si>
    <t>EFFICIENCY RATIOS</t>
  </si>
  <si>
    <t>Asset Turnover Ratio</t>
  </si>
  <si>
    <t>Debtor Days</t>
  </si>
  <si>
    <t>SOLVENCY RATIOS</t>
  </si>
  <si>
    <t>Debt to Equity Ratio</t>
  </si>
  <si>
    <t>Interest Coverage Ratio</t>
  </si>
  <si>
    <t>RATIOS</t>
  </si>
  <si>
    <t>Inventory</t>
  </si>
  <si>
    <t>Infosys</t>
  </si>
  <si>
    <t>TCS</t>
  </si>
  <si>
    <t>Year</t>
  </si>
  <si>
    <t>Current Ratios</t>
  </si>
  <si>
    <t>Debt-Equity Ratios</t>
  </si>
  <si>
    <t>TCS vs Infosys — Financial Performance Analysis FY23–FY25</t>
  </si>
  <si>
    <t>Chart Data Sheet</t>
  </si>
  <si>
    <t>TCS Financial Data</t>
  </si>
  <si>
    <t>Insights &amp; Summary</t>
  </si>
  <si>
    <t xml:space="preserve"> FY24</t>
  </si>
  <si>
    <t xml:space="preserve"> FY25</t>
  </si>
  <si>
    <t xml:space="preserve"> FY23</t>
  </si>
  <si>
    <t>TCS vs Infosys — Financial Statement Analysis</t>
  </si>
  <si>
    <t>01  |  Project Overview</t>
  </si>
  <si>
    <t>Objective</t>
  </si>
  <si>
    <t>Scope &amp; Methodology</t>
  </si>
  <si>
    <t>Data sourced from Screener.in (NSE/BSE filings). 10+ financial ratios calculated across 4 categories: Profitability (Net Profit Margin, ROE, ROA, EBITDA Margin), Liquidity (Current Ratio, Quick Ratio), Efficiency (Asset Turnover, Debtor Days) and Solvency (Debt-to-Equity, Interest Coverage). Findings presented through an interactive Excel dashboard.</t>
  </si>
  <si>
    <t>02  |  Profitability Analysis</t>
  </si>
  <si>
    <t>Ratio / Metric</t>
  </si>
  <si>
    <t>Insight &amp; Analysis</t>
  </si>
  <si>
    <t>03  |  Liquidity &amp; Efficiency Analysis</t>
  </si>
  <si>
    <t>Current &amp; Quick Ratio</t>
  </si>
  <si>
    <t>04  |  Solvency Analysis</t>
  </si>
  <si>
    <t>Final Conclusion</t>
  </si>
  <si>
    <t>Data Source: Screener.in (NSE/BSE Annual Reports)  |  Analysis Period: FY2023–FY2025  |  Prepared as part of Financial Analyst certification – Udemy</t>
  </si>
  <si>
    <t xml:space="preserve">Comparative Ratio Analysis  |  FY2023 – FY2025  </t>
  </si>
  <si>
    <t>This project conducts a comparative financial statement analysis of TCS (Tata Consultancy Services) and Infosys — two of India's largest IT companies — over
 FY2023 to FY2025. The objective is to evaluate and compare their financial health across profitability, liquidity, efficiency and solvency dimensions using key
 financial ratios derived from publicly available annual report. data.</t>
  </si>
  <si>
    <t>Variance Abs.
FY23-24</t>
  </si>
  <si>
    <t>Variance %
FY23-24</t>
  </si>
  <si>
    <t>Variance Abs.
FY24-25</t>
  </si>
  <si>
    <t>Variance %
FY24-25</t>
  </si>
  <si>
    <t>-</t>
  </si>
  <si>
    <t xml:space="preserve">FY23  </t>
  </si>
  <si>
    <r>
      <t xml:space="preserve">The Net Profit Margin% for TCS has been consistently higher in comparison to Infosys. TCS Net Profit Margin% grew from 18.7% to 19.0% while for Infosys it  initially grew from 16.4% to 17.1% and then reverted back to 16.4%.
</t>
    </r>
    <r>
      <rPr>
        <b/>
        <i/>
        <sz val="9"/>
        <color rgb="FF404040"/>
        <rFont val="Calibri"/>
        <family val="2"/>
      </rPr>
      <t>Conclusion</t>
    </r>
    <r>
      <rPr>
        <i/>
        <sz val="9"/>
        <color rgb="FF404040"/>
        <rFont val="Calibri"/>
      </rPr>
      <t>- This means TCS has been more efficient in its cost control and operations than Infosys. Infosys growth followed by decline suggest possible cost pressures and pricing change. TCS stable and consistent growth indicates its better position to withstand industry headwinds moving forward.</t>
    </r>
  </si>
  <si>
    <r>
      <t xml:space="preserve">TCS consistently outperformed Infosys on Return on Equity across all three years. TCS ROE grew from 46.6% to 51.2% which shows its commendable growth in maximising returns to its shareholders which not only increases the market value of the company  but also ensures continued trust of the real owners of the company. For Infosys there has been a decline in the ROE from 32.0% to 27.9%, which indicates fall in the returns to the shareholders.
</t>
    </r>
    <r>
      <rPr>
        <b/>
        <i/>
        <sz val="9"/>
        <color rgb="FF404040"/>
        <rFont val="Calibri"/>
        <family val="2"/>
      </rPr>
      <t>Conclusion</t>
    </r>
    <r>
      <rPr>
        <i/>
        <sz val="9"/>
        <color rgb="FF404040"/>
        <rFont val="Calibri"/>
      </rPr>
      <t>- TCS consistent growth in ROE surely suggests towards its continued growth and efficiency in using equity. Infosys decline in ROE  is possibly due to rising equity base from retained earnings or increasing cost pressures — which may concern long term investors.</t>
    </r>
  </si>
  <si>
    <r>
      <t xml:space="preserve">TCS maintained a consistently higher EBITDA margin compared to Infosys during FY23–FY25, reporting an EBITDA margin of approximately 28.5% in FY25 against Infosys’ 27.0%. TCS’ EBITDA margin improved from 28.5% in FY23 to 28.8% in FY24 before moderating slightly in FY25, indicating stable operational profitability despite possible cost pressures. Infosys, on the other hand, demonstrated gradual and consistent improvement in EBITDA margins from 26.8% in FY23 to 27.0% in FY25. This reflects steady operational efficiency and controlled cost growth relative to revenue expansion.
</t>
    </r>
    <r>
      <rPr>
        <b/>
        <i/>
        <sz val="9"/>
        <color rgb="FF404040"/>
        <rFont val="Calibri"/>
        <family val="2"/>
      </rPr>
      <t>Conclusion</t>
    </r>
    <r>
      <rPr>
        <i/>
        <sz val="9"/>
        <color rgb="FF404040"/>
        <rFont val="Calibri"/>
        <family val="2"/>
      </rPr>
      <t xml:space="preserve"> - Overall, TCS maintained stronger operating profitability than Infosys throughout the analysis period, as reflected by its relatively higher EBITDA margins. However, the margin gap between the two companies remained moderate, indicating stable operational performance and positive long-term growth potential for both firms.</t>
    </r>
  </si>
  <si>
    <r>
      <t xml:space="preserve">TCS outperformed Infosys in Return on Assets (ROA) across FY23–FY25, indicating stronger efficiency in utilizing assets to generate profits. TCS ROA improved from 29.5% in FY23 to 31.6% in FY24 before slightly declining to 30.6% in FY25, possibly due to rising operating and non-operating expenses. Despite the decline, TCS maintained a relatively strong ROA level. Infosys ROA remained comparatively stable at 19.3% and 19.1% in FY23 and FY24 respectively, before declining to 18.1% in FY25, reflecting comparatively lower asset utilization efficiency.
</t>
    </r>
    <r>
      <rPr>
        <b/>
        <i/>
        <sz val="9"/>
        <color rgb="FF404040"/>
        <rFont val="Calibri"/>
        <family val="2"/>
      </rPr>
      <t>Conclusion</t>
    </r>
    <r>
      <rPr>
        <i/>
        <sz val="9"/>
        <color rgb="FF404040"/>
        <rFont val="Calibri"/>
        <family val="2"/>
      </rPr>
      <t xml:space="preserve"> – TCS maintained a significantly stronger ROA throughout the period, reflecting better asset utilization and profitability. While both companies witnessed a slight decline in FY25, Infosys’ relatively stable ROA indicates steady — though less efficient — asset management compared to TCS.</t>
    </r>
  </si>
  <si>
    <r>
      <t xml:space="preserve">Both companies show Current Ratio above 1.5 indicating decent liquidity positions of the respective companies. Higher the ratio higher is the ability of the company to meet their short-term obligations. Higher Quick Ratio suggests that the companies liquidity position are not heavily reliant on its inventory which is typical of the sector the firms operate in. 
Infosys ratio of 2.11 in FY25  is higher than TCS at 1.89 in FY25, this means Infosys is better placed in meeting its short-term debt obligations than TCS is. Nevertheless, though TCS Current and Quick Ration are lower than Infosys but still at a decently higher level.
</t>
    </r>
    <r>
      <rPr>
        <b/>
        <i/>
        <sz val="9"/>
        <color rgb="FF404040"/>
        <rFont val="Calibri"/>
        <family val="2"/>
      </rPr>
      <t>Conclusion:</t>
    </r>
    <r>
      <rPr>
        <i/>
        <sz val="9"/>
        <color rgb="FF404040"/>
        <rFont val="Calibri"/>
      </rPr>
      <t xml:space="preserve"> This means both companies are doing well in terms of its liquidity position which not only strengthens financial health but also increases the trust of investors and other key stakeholders.</t>
    </r>
  </si>
  <si>
    <r>
      <t xml:space="preserve"> TCS generates ₹1.61 of revenue per ₹1 of assets vs Infosys at ₹1.10 revenue per ₹1 of assets. This shows that TCS is better positioned in utilising its assets to generate revenues and is more efficient in its resource management. Higher Asset Turnover Ratio of TCS is also reflected in higher Return to Asset%. While Infosys has slightly lower ratio than that of TCS but is still quite efficient in its asset utilisation. Lower ratio is possibly due to lower revenue relative to asset size accompanied by declining ROE trend. 
</t>
    </r>
    <r>
      <rPr>
        <b/>
        <i/>
        <sz val="9"/>
        <color rgb="FF404040"/>
        <rFont val="Calibri"/>
        <family val="2"/>
      </rPr>
      <t>Conclusion:</t>
    </r>
    <r>
      <rPr>
        <i/>
        <sz val="9"/>
        <color rgb="FF404040"/>
        <rFont val="Calibri"/>
        <family val="2"/>
      </rPr>
      <t xml:space="preserve"> TCS has scaled revenue far more efficiently than its asset base has grown, while Infosys's equity and asset base are growing faster than its revenue, compressing its ratio year over year.</t>
    </r>
  </si>
  <si>
    <r>
      <t xml:space="preserve"> TCS's collection cycle is approximately 14 days longer than Infosys's, indicating that cash remains locked in receivables for a longer period. In contrast, Infosys's 69-day collection period suggests relatively stronger receivables management and faster cash conversion.
</t>
    </r>
    <r>
      <rPr>
        <b/>
        <i/>
        <sz val="9"/>
        <color rgb="FF404040"/>
        <rFont val="Calibri"/>
        <family val="2"/>
      </rPr>
      <t xml:space="preserve">Conclusion: </t>
    </r>
    <r>
      <rPr>
        <i/>
        <sz val="9"/>
        <color rgb="FF404040"/>
        <rFont val="Calibri"/>
      </rPr>
      <t>The rise in debtor days for both companies since FY23 points to a wider industry trend, with clients increasingly seeking extended payment terms in the post-pandemic market.</t>
    </r>
  </si>
  <si>
    <t>TCS has a debt-to-equity ratio of 0.10, meaning it uses very little debt to finance its operations. For a company of its scale, this reflects a highly conservative capital structure and a strong balance sheet.
Infosys has further strengthened its position by reducing its debt-to-equity ratio from 0.11 to 0.09. This suggests the company has either been paying down debt, growing its equity base, or both—an encouraging sign of financial discipline.
Conclusion: Overall, both companies maintain exceptionally low levels of debt, indicating minimal financial risk from leverage. The difference between the two ratios is marginal and unlikely to be a significant factor in an investor's decision-making process.</t>
  </si>
  <si>
    <r>
      <t xml:space="preserve">TCS generates enough operating profit to cover its interest expenses about 84 times over, and this coverage has improved over the past few years. The increase reflects stronger operating earnings while interest costs have remained relatively stable.
Infosys's interest coverage ratio has declined from 123.7× to 94.3×. This drop was largely driven by a temporary rise in interest expenses in FY24, although those costs eased in FY25. Even so, the company still generates more than enough profit to comfortably meet its interest obligations
</t>
    </r>
    <r>
      <rPr>
        <b/>
        <i/>
        <sz val="9"/>
        <color rgb="FF404040"/>
        <rFont val="Calibri"/>
        <family val="2"/>
      </rPr>
      <t>Conclusion</t>
    </r>
    <r>
      <rPr>
        <i/>
        <sz val="9"/>
        <color rgb="FF404040"/>
        <rFont val="Calibri"/>
      </rPr>
      <t>: Both companies are in a very strong financial position, with interest coverage levels that indicate virtually no risk in servicing their debt. The more important takeaway is the trend: TCS has shown improvement over time, while Infosys has seen some moderation. However, both remain firmly in a low-risk, financially healthy zone.</t>
    </r>
  </si>
  <si>
    <r>
      <t xml:space="preserve">Based on the financial trends over the last three years, TCS appears to be the stronger performer in terms of both efficiency and profitability. Its higher and steadily improving ROE, ROCE, profit margins, and asset utilization indicate that the company is generating increasing value from the resources available to it. While TCS does take slightly longer to collect payments from customers and has seen a modest increase in borrowings, these factors remain well within manageable levels and do not currently pose a significant concern.
Infosys, on the other hand, continues to be a financially sound and conservatively managed company. However, its recent performance suggests some moderation in operational efficiency. Key indicators such as ROE have gradually declined, profit growth has slowed considerably, and operating expenses have been increasing at a slightly faster pace than revenue. While none of these trends are alarming on their own, they do indicate that the company is facing greater pressure in maintaining its historical levels of profitability.
Overall, both companies remain financially strong, but TCS has demonstrated stronger execution and more consistent improvement across key performance metrics. Unless Infosys is able to accelerate revenue growth or improve cost efficiency, the performance gap between the two companies may continue to widen over time. 
</t>
    </r>
    <r>
      <rPr>
        <b/>
        <i/>
        <sz val="10"/>
        <color rgb="FF404040"/>
        <rFont val="Calibri"/>
        <family val="2"/>
      </rPr>
      <t xml:space="preserve">
Investment View:</t>
    </r>
    <r>
      <rPr>
        <i/>
        <sz val="10"/>
        <color rgb="FF404040"/>
        <rFont val="Calibri"/>
        <family val="2"/>
      </rPr>
      <t xml:space="preserve"> TCS stands out as a reliable long-term compounder, backed by improving fundamentals and strong execution. Infosys offers a solid foundation but needs stronger growth or shareholder-friendly initiatives, such as buybacks, to close the gap and improve investor sentiment.</t>
    </r>
  </si>
  <si>
    <t>Strength- TCS &amp; Infosys</t>
  </si>
  <si>
    <t>Operating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</si>
</sst>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0.0%"/>
    <numFmt numFmtId="165" formatCode="0.0"/>
    <numFmt numFmtId="166" formatCode="_ * #,##0_ ;_ * \-#,##0_ ;_ * &quot;-&quot;??_ ;_ @_ "/>
    <numFmt numFmtId="167" formatCode="_ [$₹-4009]\ * #,##0.00_ ;_ [$₹-4009]\ * \-#,##0.00_ ;_ [$₹-4009]\ * &quot;-&quot;??_ ;_ @_ "/>
  </numFmts>
  <fonts count="29"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1"/>
      <color theme="1"/>
      <name val="Arial"/>
      <family val="2"/>
    </font>
    <font>
      <b/>
      <sz val="16"/>
      <color rgb="FF002060"/>
      <name val="Arial"/>
      <family val="2"/>
    </font>
    <font>
      <sz val="11"/>
      <color theme="0"/>
      <name val="Arial"/>
      <family val="2"/>
    </font>
    <font>
      <b/>
      <sz val="16"/>
      <color theme="1"/>
      <name val="Arial"/>
      <family val="2"/>
    </font>
    <font>
      <b/>
      <sz val="11"/>
      <color theme="0"/>
      <name val="Arial"/>
      <family val="2"/>
    </font>
    <font>
      <sz val="10"/>
      <color theme="1"/>
      <name val="Arial"/>
      <family val="2"/>
    </font>
    <font>
      <b/>
      <sz val="10"/>
      <color theme="0"/>
      <name val="Aptos Narrow"/>
      <family val="2"/>
      <scheme val="minor"/>
    </font>
    <font>
      <sz val="10"/>
      <color theme="1"/>
      <name val="Aptos Narrow"/>
      <family val="2"/>
      <scheme val="minor"/>
    </font>
    <font>
      <b/>
      <sz val="10"/>
      <color theme="1"/>
      <name val="Aptos Narrow"/>
      <family val="2"/>
      <scheme val="minor"/>
    </font>
    <font>
      <b/>
      <sz val="10"/>
      <color theme="1"/>
      <name val="Arial"/>
      <family val="2"/>
    </font>
    <font>
      <b/>
      <sz val="18"/>
      <color rgb="FFFFFFFF"/>
      <name val="Calibri"/>
    </font>
    <font>
      <i/>
      <sz val="10"/>
      <color rgb="FFFFFFFF"/>
      <name val="Calibri"/>
    </font>
    <font>
      <b/>
      <sz val="12"/>
      <color rgb="FFFFFFFF"/>
      <name val="Calibri"/>
    </font>
    <font>
      <b/>
      <sz val="9"/>
      <color rgb="FF404040"/>
      <name val="Calibri"/>
    </font>
    <font>
      <sz val="10"/>
      <color rgb="FF404040"/>
      <name val="Calibri"/>
    </font>
    <font>
      <b/>
      <sz val="9"/>
      <color rgb="FFFFFFFF"/>
      <name val="Calibri"/>
    </font>
    <font>
      <b/>
      <sz val="9"/>
      <color rgb="FF1E3A5F"/>
      <name val="Calibri"/>
    </font>
    <font>
      <i/>
      <sz val="9"/>
      <color rgb="FF404040"/>
      <name val="Calibri"/>
    </font>
    <font>
      <i/>
      <sz val="9"/>
      <color rgb="FF404040"/>
      <name val="Calibri"/>
      <family val="2"/>
    </font>
    <font>
      <b/>
      <i/>
      <sz val="9"/>
      <color rgb="FF404040"/>
      <name val="Calibri"/>
      <family val="2"/>
    </font>
    <font>
      <sz val="10"/>
      <color rgb="FFFF0000"/>
      <name val="Arial"/>
      <family val="2"/>
    </font>
    <font>
      <i/>
      <sz val="10"/>
      <color rgb="FF404040"/>
      <name val="Calibri"/>
      <family val="2"/>
    </font>
    <font>
      <b/>
      <i/>
      <sz val="10"/>
      <color rgb="FF404040"/>
      <name val="Calibri"/>
      <family val="2"/>
    </font>
    <font>
      <i/>
      <sz val="9"/>
      <color rgb="FFBDD7EE"/>
      <name val="Calibri"/>
      <family val="2"/>
    </font>
    <font>
      <b/>
      <sz val="9"/>
      <color rgb="FF1E3A5F"/>
      <name val="Calibri"/>
      <family val="2"/>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1E3A5F"/>
      </patternFill>
    </fill>
    <fill>
      <patternFill patternType="solid">
        <fgColor rgb="FF2E75B6"/>
      </patternFill>
    </fill>
    <fill>
      <patternFill patternType="solid">
        <fgColor rgb="FFBDD7EE"/>
      </patternFill>
    </fill>
    <fill>
      <patternFill patternType="solid">
        <fgColor rgb="FFEBF3FB"/>
      </patternFill>
    </fill>
    <fill>
      <patternFill patternType="solid">
        <fgColor rgb="FFFFFFFF"/>
      </patternFill>
    </fill>
    <fill>
      <patternFill patternType="solid">
        <fgColor theme="3" tint="0.89999084444715716"/>
        <bgColor indexed="64"/>
      </patternFill>
    </fill>
  </fills>
  <borders count="18">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diagonal/>
    </border>
    <border>
      <left style="thin">
        <color rgb="FFBDD7EE"/>
      </left>
      <right style="thin">
        <color rgb="FFBDD7EE"/>
      </right>
      <top/>
      <bottom/>
      <diagonal/>
    </border>
    <border>
      <left style="thin">
        <color rgb="FFBDD7EE"/>
      </left>
      <right style="thin">
        <color rgb="FFBDD7EE"/>
      </right>
      <top/>
      <bottom style="thin">
        <color rgb="FFBDD7EE"/>
      </bottom>
      <diagonal/>
    </border>
    <border>
      <left/>
      <right style="thin">
        <color rgb="FFBDD7EE"/>
      </right>
      <top style="thin">
        <color rgb="FFBDD7EE"/>
      </top>
      <bottom style="thin">
        <color rgb="FFBDD7EE"/>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85">
    <xf numFmtId="0" fontId="0" fillId="0" borderId="0" xfId="0"/>
    <xf numFmtId="0" fontId="0" fillId="2" borderId="0" xfId="0" applyFill="1"/>
    <xf numFmtId="0" fontId="4" fillId="2" borderId="0" xfId="0" applyFont="1" applyFill="1"/>
    <xf numFmtId="0" fontId="1" fillId="2" borderId="0" xfId="0" applyFont="1" applyFill="1"/>
    <xf numFmtId="0" fontId="5" fillId="2" borderId="0" xfId="0" applyFont="1" applyFill="1"/>
    <xf numFmtId="0" fontId="4" fillId="0" borderId="0" xfId="0" applyFont="1"/>
    <xf numFmtId="0" fontId="7" fillId="0" borderId="0" xfId="0" applyFont="1"/>
    <xf numFmtId="0" fontId="8" fillId="2" borderId="0" xfId="0" applyFont="1" applyFill="1"/>
    <xf numFmtId="2" fontId="4" fillId="2" borderId="0" xfId="0" applyNumberFormat="1" applyFont="1" applyFill="1"/>
    <xf numFmtId="0" fontId="8" fillId="4" borderId="0" xfId="0" applyFont="1" applyFill="1"/>
    <xf numFmtId="0" fontId="6" fillId="4" borderId="0" xfId="0" applyFont="1" applyFill="1"/>
    <xf numFmtId="0" fontId="11" fillId="2" borderId="0" xfId="0" applyFont="1" applyFill="1"/>
    <xf numFmtId="2" fontId="11" fillId="0" borderId="0" xfId="1" applyNumberFormat="1" applyFont="1" applyBorder="1" applyAlignment="1">
      <alignment vertical="center" wrapText="1"/>
    </xf>
    <xf numFmtId="0" fontId="11" fillId="0" borderId="0" xfId="0" applyFont="1" applyAlignment="1">
      <alignment vertical="center" wrapText="1"/>
    </xf>
    <xf numFmtId="0" fontId="13" fillId="3" borderId="0" xfId="0" applyFont="1" applyFill="1"/>
    <xf numFmtId="0" fontId="9" fillId="3" borderId="0" xfId="0" applyFont="1" applyFill="1"/>
    <xf numFmtId="0" fontId="6" fillId="4" borderId="0" xfId="0" applyFont="1" applyFill="1" applyAlignment="1">
      <alignment horizontal="right"/>
    </xf>
    <xf numFmtId="0" fontId="9" fillId="3" borderId="0" xfId="0" applyFont="1" applyFill="1" applyAlignment="1">
      <alignment horizontal="right"/>
    </xf>
    <xf numFmtId="164" fontId="9" fillId="3" borderId="0" xfId="1" applyNumberFormat="1" applyFont="1" applyFill="1" applyAlignment="1">
      <alignment horizontal="right"/>
    </xf>
    <xf numFmtId="164" fontId="9" fillId="3" borderId="0" xfId="0" applyNumberFormat="1" applyFont="1" applyFill="1" applyAlignment="1">
      <alignment horizontal="right"/>
    </xf>
    <xf numFmtId="2" fontId="9" fillId="3" borderId="0" xfId="0" applyNumberFormat="1" applyFont="1" applyFill="1" applyAlignment="1">
      <alignment horizontal="right"/>
    </xf>
    <xf numFmtId="1" fontId="9" fillId="3" borderId="0" xfId="0" applyNumberFormat="1" applyFont="1" applyFill="1" applyAlignment="1">
      <alignment horizontal="right"/>
    </xf>
    <xf numFmtId="0" fontId="19" fillId="6" borderId="0" xfId="0" applyFont="1" applyFill="1" applyAlignment="1">
      <alignment horizontal="center" vertical="center" wrapText="1"/>
    </xf>
    <xf numFmtId="0" fontId="20" fillId="8" borderId="13" xfId="0" applyFont="1" applyFill="1" applyBorder="1" applyAlignment="1">
      <alignment horizontal="left" vertical="center" wrapText="1"/>
    </xf>
    <xf numFmtId="9" fontId="0" fillId="2" borderId="0" xfId="1" applyFont="1" applyFill="1"/>
    <xf numFmtId="0" fontId="22" fillId="9" borderId="13" xfId="0" applyFont="1" applyFill="1" applyBorder="1" applyAlignment="1">
      <alignment horizontal="left" vertical="center" wrapText="1"/>
    </xf>
    <xf numFmtId="0" fontId="8" fillId="4" borderId="0" xfId="0" applyFont="1" applyFill="1" applyAlignment="1">
      <alignment wrapText="1"/>
    </xf>
    <xf numFmtId="0" fontId="9" fillId="2" borderId="0" xfId="0" applyFont="1" applyFill="1"/>
    <xf numFmtId="9" fontId="9" fillId="2" borderId="0" xfId="0" applyNumberFormat="1" applyFont="1" applyFill="1"/>
    <xf numFmtId="167" fontId="4" fillId="2" borderId="0" xfId="2" applyNumberFormat="1" applyFont="1" applyFill="1"/>
    <xf numFmtId="164" fontId="0" fillId="2" borderId="0" xfId="0" applyNumberFormat="1" applyFill="1"/>
    <xf numFmtId="166" fontId="9" fillId="3" borderId="0" xfId="0" applyNumberFormat="1" applyFont="1" applyFill="1"/>
    <xf numFmtId="164" fontId="9" fillId="10" borderId="0" xfId="1" applyNumberFormat="1" applyFont="1" applyFill="1"/>
    <xf numFmtId="38" fontId="9" fillId="10" borderId="0" xfId="0" applyNumberFormat="1" applyFont="1" applyFill="1"/>
    <xf numFmtId="164" fontId="24" fillId="10" borderId="0" xfId="1" applyNumberFormat="1" applyFont="1" applyFill="1"/>
    <xf numFmtId="164" fontId="9" fillId="3" borderId="0" xfId="0" applyNumberFormat="1" applyFont="1" applyFill="1"/>
    <xf numFmtId="164" fontId="9" fillId="10" borderId="0" xfId="1" applyNumberFormat="1" applyFont="1" applyFill="1" applyAlignment="1">
      <alignment horizontal="right"/>
    </xf>
    <xf numFmtId="0" fontId="12" fillId="3" borderId="6"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1" fillId="3" borderId="5" xfId="0" applyFont="1" applyFill="1" applyBorder="1" applyAlignment="1">
      <alignment vertical="center" wrapText="1"/>
    </xf>
    <xf numFmtId="2" fontId="11" fillId="3" borderId="0" xfId="1" applyNumberFormat="1" applyFont="1" applyFill="1" applyBorder="1" applyAlignment="1">
      <alignment vertical="center" wrapText="1"/>
    </xf>
    <xf numFmtId="2" fontId="11" fillId="3" borderId="7" xfId="1" applyNumberFormat="1" applyFont="1" applyFill="1" applyBorder="1" applyAlignment="1">
      <alignment vertical="center" wrapText="1"/>
    </xf>
    <xf numFmtId="0" fontId="11" fillId="3" borderId="11" xfId="0" applyFont="1" applyFill="1" applyBorder="1" applyAlignment="1">
      <alignment vertical="center" wrapText="1"/>
    </xf>
    <xf numFmtId="2" fontId="11" fillId="3" borderId="8" xfId="1" applyNumberFormat="1" applyFont="1" applyFill="1" applyBorder="1" applyAlignment="1">
      <alignment vertical="center" wrapText="1"/>
    </xf>
    <xf numFmtId="0" fontId="11" fillId="3" borderId="12" xfId="0" applyFont="1" applyFill="1" applyBorder="1" applyAlignment="1">
      <alignment vertical="center" wrapText="1"/>
    </xf>
    <xf numFmtId="2" fontId="11" fillId="3" borderId="1" xfId="1" applyNumberFormat="1" applyFont="1" applyFill="1" applyBorder="1" applyAlignment="1">
      <alignment vertical="center" wrapText="1"/>
    </xf>
    <xf numFmtId="2" fontId="11" fillId="3" borderId="9" xfId="1" applyNumberFormat="1" applyFont="1" applyFill="1" applyBorder="1" applyAlignment="1">
      <alignment vertical="center" wrapText="1"/>
    </xf>
    <xf numFmtId="164" fontId="11" fillId="3" borderId="0" xfId="1" applyNumberFormat="1" applyFont="1" applyFill="1" applyBorder="1" applyAlignment="1">
      <alignment vertical="center" wrapText="1"/>
    </xf>
    <xf numFmtId="164" fontId="11" fillId="3" borderId="7" xfId="1" applyNumberFormat="1" applyFont="1" applyFill="1" applyBorder="1" applyAlignment="1">
      <alignment vertical="center" wrapText="1"/>
    </xf>
    <xf numFmtId="164" fontId="11" fillId="3" borderId="8" xfId="1" applyNumberFormat="1" applyFont="1" applyFill="1" applyBorder="1" applyAlignment="1">
      <alignment vertical="center" wrapText="1"/>
    </xf>
    <xf numFmtId="164" fontId="11" fillId="3" borderId="1" xfId="1" applyNumberFormat="1" applyFont="1" applyFill="1" applyBorder="1" applyAlignment="1">
      <alignment vertical="center" wrapText="1"/>
    </xf>
    <xf numFmtId="164" fontId="11" fillId="3" borderId="9" xfId="1" applyNumberFormat="1" applyFont="1" applyFill="1" applyBorder="1" applyAlignment="1">
      <alignment vertical="center" wrapText="1"/>
    </xf>
    <xf numFmtId="165" fontId="11" fillId="3" borderId="0" xfId="1" applyNumberFormat="1" applyFont="1" applyFill="1" applyBorder="1" applyAlignment="1">
      <alignment vertical="center" wrapText="1"/>
    </xf>
    <xf numFmtId="165" fontId="11" fillId="3" borderId="7" xfId="1" applyNumberFormat="1" applyFont="1" applyFill="1" applyBorder="1" applyAlignment="1">
      <alignment vertical="center" wrapText="1"/>
    </xf>
    <xf numFmtId="165" fontId="11" fillId="3" borderId="8" xfId="1" applyNumberFormat="1" applyFont="1" applyFill="1" applyBorder="1" applyAlignment="1">
      <alignment vertical="center" wrapText="1"/>
    </xf>
    <xf numFmtId="165" fontId="11" fillId="3" borderId="1" xfId="1" applyNumberFormat="1" applyFont="1" applyFill="1" applyBorder="1" applyAlignment="1">
      <alignment vertical="center" wrapText="1"/>
    </xf>
    <xf numFmtId="165" fontId="11" fillId="3" borderId="9" xfId="1" applyNumberFormat="1" applyFont="1" applyFill="1" applyBorder="1" applyAlignment="1">
      <alignment vertical="center" wrapText="1"/>
    </xf>
    <xf numFmtId="164" fontId="1" fillId="2" borderId="0" xfId="1" applyNumberFormat="1" applyFont="1" applyFill="1"/>
    <xf numFmtId="164" fontId="0" fillId="2" borderId="0" xfId="1" applyNumberFormat="1" applyFont="1" applyFill="1"/>
    <xf numFmtId="2" fontId="0" fillId="2" borderId="0" xfId="0" applyNumberFormat="1" applyFill="1"/>
    <xf numFmtId="0" fontId="22" fillId="9" borderId="0" xfId="0" applyFont="1" applyFill="1" applyAlignment="1">
      <alignment horizontal="left" vertical="center" wrapText="1"/>
    </xf>
    <xf numFmtId="0" fontId="28" fillId="2" borderId="0" xfId="0" applyFont="1" applyFill="1" applyAlignment="1">
      <alignment horizontal="left" vertical="center" wrapText="1"/>
    </xf>
    <xf numFmtId="0" fontId="22" fillId="9" borderId="17" xfId="0" applyFont="1" applyFill="1" applyBorder="1" applyAlignment="1">
      <alignment horizontal="left" vertical="center" wrapText="1"/>
    </xf>
    <xf numFmtId="0" fontId="20" fillId="8" borderId="14" xfId="0" applyFont="1" applyFill="1" applyBorder="1" applyAlignment="1">
      <alignment horizontal="left" vertical="center" wrapText="1"/>
    </xf>
    <xf numFmtId="0" fontId="28" fillId="8" borderId="1" xfId="0" applyFont="1" applyFill="1" applyBorder="1" applyAlignment="1">
      <alignment horizontal="left" vertical="center" wrapText="1"/>
    </xf>
    <xf numFmtId="0" fontId="8" fillId="2" borderId="0" xfId="0" applyFont="1" applyFill="1" applyAlignment="1">
      <alignment horizontal="center"/>
    </xf>
    <xf numFmtId="0" fontId="8" fillId="4" borderId="0" xfId="0" applyFont="1" applyFill="1" applyAlignment="1">
      <alignment horizontal="center"/>
    </xf>
    <xf numFmtId="0" fontId="6" fillId="4" borderId="0" xfId="0" applyFont="1" applyFill="1" applyAlignment="1">
      <alignment horizontal="center"/>
    </xf>
    <xf numFmtId="0" fontId="10" fillId="4" borderId="2" xfId="0" applyFont="1" applyFill="1" applyBorder="1" applyAlignment="1">
      <alignment horizontal="center"/>
    </xf>
    <xf numFmtId="0" fontId="10" fillId="4" borderId="10" xfId="0" applyFont="1" applyFill="1" applyBorder="1" applyAlignment="1">
      <alignment horizontal="center"/>
    </xf>
    <xf numFmtId="0" fontId="10" fillId="4" borderId="4" xfId="0" applyFont="1" applyFill="1" applyBorder="1" applyAlignment="1">
      <alignment horizontal="center"/>
    </xf>
    <xf numFmtId="0" fontId="10" fillId="4" borderId="3" xfId="0" applyFont="1" applyFill="1" applyBorder="1" applyAlignment="1">
      <alignment horizontal="center"/>
    </xf>
    <xf numFmtId="0" fontId="25" fillId="8" borderId="0" xfId="0" applyFont="1" applyFill="1" applyAlignment="1">
      <alignment horizontal="left" vertical="center" wrapText="1"/>
    </xf>
    <xf numFmtId="0" fontId="0" fillId="0" borderId="0" xfId="0"/>
    <xf numFmtId="0" fontId="27" fillId="5" borderId="0" xfId="0" applyFont="1" applyFill="1" applyAlignment="1">
      <alignment horizontal="center" vertical="center" wrapText="1"/>
    </xf>
    <xf numFmtId="0" fontId="18" fillId="8" borderId="0" xfId="0" applyFont="1" applyFill="1" applyAlignment="1">
      <alignment horizontal="left" vertical="center" wrapText="1"/>
    </xf>
    <xf numFmtId="0" fontId="16" fillId="5" borderId="0" xfId="0" applyFont="1" applyFill="1" applyAlignment="1">
      <alignment horizontal="left" vertical="center" wrapText="1"/>
    </xf>
    <xf numFmtId="0" fontId="19" fillId="6" borderId="0" xfId="0" applyFont="1" applyFill="1" applyAlignment="1">
      <alignment horizontal="left" vertical="center" wrapText="1"/>
    </xf>
    <xf numFmtId="0" fontId="28" fillId="10" borderId="15" xfId="0" applyFont="1" applyFill="1" applyBorder="1" applyAlignment="1">
      <alignment horizontal="center" vertical="center" wrapText="1"/>
    </xf>
    <xf numFmtId="0" fontId="28" fillId="10" borderId="16" xfId="0" applyFont="1" applyFill="1" applyBorder="1" applyAlignment="1">
      <alignment horizontal="center" vertical="center" wrapText="1"/>
    </xf>
    <xf numFmtId="0" fontId="17" fillId="7" borderId="0" xfId="0" applyFont="1" applyFill="1" applyAlignment="1">
      <alignment horizontal="left" vertical="center" wrapText="1"/>
    </xf>
    <xf numFmtId="0" fontId="14" fillId="5" borderId="0" xfId="0" applyFont="1" applyFill="1" applyAlignment="1">
      <alignment horizontal="center" vertical="center" wrapText="1"/>
    </xf>
    <xf numFmtId="0" fontId="15" fillId="6" borderId="0" xfId="0" applyFont="1" applyFill="1" applyAlignment="1">
      <alignment horizontal="center" vertical="center" wrapText="1"/>
    </xf>
    <xf numFmtId="9" fontId="9" fillId="3" borderId="0" xfId="1" applyFont="1" applyFill="1" applyAlignment="1">
      <alignment horizontal="right"/>
    </xf>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1"/>
          <c:showCatName val="0"/>
          <c:showSerName val="0"/>
          <c:showPercent val="0"/>
          <c:showBubbleSize val="0"/>
        </c:dLbls>
        <c:gapWidth val="110"/>
        <c:overlap val="-8"/>
        <c:axId val="1736771311"/>
        <c:axId val="1736769871"/>
      </c:barChart>
      <c:catAx>
        <c:axId val="173677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69871"/>
        <c:crosses val="autoZero"/>
        <c:auto val="1"/>
        <c:lblAlgn val="ctr"/>
        <c:lblOffset val="100"/>
        <c:noMultiLvlLbl val="0"/>
      </c:catAx>
      <c:valAx>
        <c:axId val="1736769871"/>
        <c:scaling>
          <c:orientation val="minMax"/>
        </c:scaling>
        <c:delete val="0"/>
        <c:axPos val="l"/>
        <c:majorGridlines>
          <c:spPr>
            <a:ln w="317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713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rgbClr val="002060"/>
                </a:solidFill>
                <a:latin typeface="Arial" panose="020B0604020202020204" pitchFamily="34" charset="0"/>
                <a:cs typeface="Arial" panose="020B0604020202020204" pitchFamily="34" charset="0"/>
              </a:rPr>
              <a:t>Current Ratios </a:t>
            </a:r>
            <a:r>
              <a:rPr lang="en-IN" sz="1400" b="0" i="0" u="none" strike="noStrike" kern="1200" spc="0" baseline="0">
                <a:solidFill>
                  <a:srgbClr val="002060"/>
                </a:solidFill>
                <a:latin typeface="Arial" panose="020B0604020202020204" pitchFamily="34" charset="0"/>
                <a:cs typeface="Arial" panose="020B0604020202020204" pitchFamily="34" charset="0"/>
              </a:rPr>
              <a:t>FY23-25</a:t>
            </a:r>
            <a:endParaRPr lang="en-IN" sz="1400">
              <a:solidFill>
                <a:srgbClr val="002060"/>
              </a:solidFill>
              <a:latin typeface="Arial" panose="020B0604020202020204" pitchFamily="34" charset="0"/>
              <a:cs typeface="Arial" panose="020B0604020202020204" pitchFamily="34" charset="0"/>
            </a:endParaRPr>
          </a:p>
        </c:rich>
      </c:tx>
      <c:layout>
        <c:manualLayout>
          <c:xMode val="edge"/>
          <c:yMode val="edge"/>
          <c:x val="0.37253280738169675"/>
          <c:y val="2.8063702394695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1"/>
          <c:order val="1"/>
          <c:tx>
            <c:strRef>
              <c:f>'Chart Data Sheet'!$E$4</c:f>
              <c:strCache>
                <c:ptCount val="1"/>
                <c:pt idx="0">
                  <c:v>Infosys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Sheet'!$C$5:$C$7</c:f>
              <c:strCache>
                <c:ptCount val="3"/>
                <c:pt idx="0">
                  <c:v>FY23</c:v>
                </c:pt>
                <c:pt idx="1">
                  <c:v>FY24</c:v>
                </c:pt>
                <c:pt idx="2">
                  <c:v>FY25</c:v>
                </c:pt>
              </c:strCache>
            </c:strRef>
          </c:cat>
          <c:val>
            <c:numRef>
              <c:f>'Chart Data Sheet'!$E$5:$E$7</c:f>
              <c:numCache>
                <c:formatCode>0.00</c:formatCode>
                <c:ptCount val="3"/>
                <c:pt idx="0">
                  <c:v>1.8489850819271216</c:v>
                </c:pt>
                <c:pt idx="1">
                  <c:v>2.0746484040601687</c:v>
                </c:pt>
                <c:pt idx="2">
                  <c:v>2.1138057142857143</c:v>
                </c:pt>
              </c:numCache>
            </c:numRef>
          </c:val>
          <c:extLst>
            <c:ext xmlns:c16="http://schemas.microsoft.com/office/drawing/2014/chart" uri="{C3380CC4-5D6E-409C-BE32-E72D297353CC}">
              <c16:uniqueId val="{00000001-0C07-41C1-8E0D-0D0807CB0A83}"/>
            </c:ext>
          </c:extLst>
        </c:ser>
        <c:ser>
          <c:idx val="0"/>
          <c:order val="0"/>
          <c:tx>
            <c:strRef>
              <c:f>'Chart Data Sheet'!$D$4</c:f>
              <c:strCache>
                <c:ptCount val="1"/>
                <c:pt idx="0">
                  <c:v>TCS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Sheet'!$C$5:$C$7</c:f>
              <c:strCache>
                <c:ptCount val="3"/>
                <c:pt idx="0">
                  <c:v>FY23</c:v>
                </c:pt>
                <c:pt idx="1">
                  <c:v>FY24</c:v>
                </c:pt>
                <c:pt idx="2">
                  <c:v>FY25</c:v>
                </c:pt>
              </c:strCache>
            </c:strRef>
          </c:cat>
          <c:val>
            <c:numRef>
              <c:f>'Chart Data Sheet'!$D$5:$D$7</c:f>
              <c:numCache>
                <c:formatCode>0.00</c:formatCode>
                <c:ptCount val="3"/>
                <c:pt idx="0">
                  <c:v>1.876036382327307</c:v>
                </c:pt>
                <c:pt idx="1">
                  <c:v>1.9705719517908096</c:v>
                </c:pt>
                <c:pt idx="2">
                  <c:v>1.8914515329993946</c:v>
                </c:pt>
              </c:numCache>
            </c:numRef>
          </c:val>
          <c:extLst>
            <c:ext xmlns:c16="http://schemas.microsoft.com/office/drawing/2014/chart" uri="{C3380CC4-5D6E-409C-BE32-E72D297353CC}">
              <c16:uniqueId val="{00000000-0C07-41C1-8E0D-0D0807CB0A83}"/>
            </c:ext>
          </c:extLst>
        </c:ser>
        <c:dLbls>
          <c:showLegendKey val="0"/>
          <c:showVal val="0"/>
          <c:showCatName val="0"/>
          <c:showSerName val="0"/>
          <c:showPercent val="0"/>
          <c:showBubbleSize val="0"/>
        </c:dLbls>
        <c:gapWidth val="219"/>
        <c:axId val="1406750863"/>
        <c:axId val="1406745583"/>
      </c:barChart>
      <c:catAx>
        <c:axId val="140675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745583"/>
        <c:crosses val="autoZero"/>
        <c:auto val="1"/>
        <c:lblAlgn val="ctr"/>
        <c:lblOffset val="100"/>
        <c:noMultiLvlLbl val="0"/>
      </c:catAx>
      <c:valAx>
        <c:axId val="1406745583"/>
        <c:scaling>
          <c:orientation val="minMax"/>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750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Arial" panose="020B0604020202020204" pitchFamily="34" charset="0"/>
                <a:cs typeface="Arial" panose="020B0604020202020204" pitchFamily="34" charset="0"/>
              </a:rPr>
              <a:t>Debt-Equity Ratios </a:t>
            </a:r>
            <a:r>
              <a:rPr lang="en-IN" sz="1400" b="0" i="0" u="none" strike="noStrike" kern="1200" spc="0" baseline="0">
                <a:solidFill>
                  <a:srgbClr val="002060"/>
                </a:solidFill>
                <a:latin typeface="Arial" panose="020B0604020202020204" pitchFamily="34" charset="0"/>
                <a:cs typeface="Arial" panose="020B0604020202020204" pitchFamily="34" charset="0"/>
              </a:rPr>
              <a:t>FY23-25</a:t>
            </a:r>
            <a:endParaRPr lang="en-IN" sz="1400">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TCS</c:v>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Sheet'!$C$13:$C$15</c:f>
              <c:strCache>
                <c:ptCount val="3"/>
                <c:pt idx="0">
                  <c:v>FY23</c:v>
                </c:pt>
                <c:pt idx="1">
                  <c:v>FY24</c:v>
                </c:pt>
                <c:pt idx="2">
                  <c:v>FY25</c:v>
                </c:pt>
              </c:strCache>
            </c:strRef>
          </c:cat>
          <c:val>
            <c:numRef>
              <c:f>'Chart Data Sheet'!$D$13:$D$15</c:f>
              <c:numCache>
                <c:formatCode>0.00</c:formatCode>
                <c:ptCount val="3"/>
                <c:pt idx="0">
                  <c:v>8.5021675661328858E-2</c:v>
                </c:pt>
                <c:pt idx="1">
                  <c:v>8.8640608250726602E-2</c:v>
                </c:pt>
                <c:pt idx="2">
                  <c:v>9.9117733969352861E-2</c:v>
                </c:pt>
              </c:numCache>
            </c:numRef>
          </c:val>
          <c:extLst>
            <c:ext xmlns:c16="http://schemas.microsoft.com/office/drawing/2014/chart" uri="{C3380CC4-5D6E-409C-BE32-E72D297353CC}">
              <c16:uniqueId val="{00000000-F36E-4BB4-A4F7-E16965CD42FF}"/>
            </c:ext>
          </c:extLst>
        </c:ser>
        <c:ser>
          <c:idx val="1"/>
          <c:order val="1"/>
          <c:tx>
            <c:v>Infosys</c:v>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Sheet'!$C$13:$C$15</c:f>
              <c:strCache>
                <c:ptCount val="3"/>
                <c:pt idx="0">
                  <c:v>FY23</c:v>
                </c:pt>
                <c:pt idx="1">
                  <c:v>FY24</c:v>
                </c:pt>
                <c:pt idx="2">
                  <c:v>FY25</c:v>
                </c:pt>
              </c:strCache>
            </c:strRef>
          </c:cat>
          <c:val>
            <c:numRef>
              <c:f>'Chart Data Sheet'!$E$13:$E$15</c:f>
              <c:numCache>
                <c:formatCode>0.00</c:formatCode>
                <c:ptCount val="3"/>
                <c:pt idx="0">
                  <c:v>0.11005609558794277</c:v>
                </c:pt>
                <c:pt idx="1">
                  <c:v>9.4863588905533619E-2</c:v>
                </c:pt>
                <c:pt idx="2">
                  <c:v>8.5860694232816379E-2</c:v>
                </c:pt>
              </c:numCache>
            </c:numRef>
          </c:val>
          <c:extLst>
            <c:ext xmlns:c16="http://schemas.microsoft.com/office/drawing/2014/chart" uri="{C3380CC4-5D6E-409C-BE32-E72D297353CC}">
              <c16:uniqueId val="{00000001-F36E-4BB4-A4F7-E16965CD42FF}"/>
            </c:ext>
          </c:extLst>
        </c:ser>
        <c:dLbls>
          <c:dLblPos val="outEnd"/>
          <c:showLegendKey val="0"/>
          <c:showVal val="1"/>
          <c:showCatName val="0"/>
          <c:showSerName val="0"/>
          <c:showPercent val="0"/>
          <c:showBubbleSize val="0"/>
        </c:dLbls>
        <c:gapWidth val="143"/>
        <c:overlap val="-42"/>
        <c:axId val="1780063055"/>
        <c:axId val="1780049135"/>
      </c:barChart>
      <c:catAx>
        <c:axId val="178006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049135"/>
        <c:crosses val="autoZero"/>
        <c:auto val="1"/>
        <c:lblAlgn val="ctr"/>
        <c:lblOffset val="100"/>
        <c:noMultiLvlLbl val="0"/>
      </c:catAx>
      <c:valAx>
        <c:axId val="1780049135"/>
        <c:scaling>
          <c:orientation val="minMax"/>
          <c:min val="4.0000000000000008E-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063055"/>
        <c:crosses val="autoZero"/>
        <c:crossBetween val="between"/>
      </c:valAx>
      <c:spPr>
        <a:noFill/>
        <a:ln w="1270">
          <a:noFill/>
        </a:ln>
        <a:effectLst/>
      </c:spPr>
    </c:plotArea>
    <c:legend>
      <c:legendPos val="b"/>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Arial" panose="020B0604020202020204" pitchFamily="34" charset="0"/>
                <a:cs typeface="Arial" panose="020B0604020202020204" pitchFamily="34" charset="0"/>
              </a:rPr>
              <a:t>Net Profit Margin% FY23-25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TCS</c:v>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Sheet'!$C$20:$C$22</c:f>
              <c:strCache>
                <c:ptCount val="3"/>
                <c:pt idx="0">
                  <c:v>FY23</c:v>
                </c:pt>
                <c:pt idx="1">
                  <c:v>FY24</c:v>
                </c:pt>
                <c:pt idx="2">
                  <c:v>FY25</c:v>
                </c:pt>
              </c:strCache>
            </c:strRef>
          </c:cat>
          <c:val>
            <c:numRef>
              <c:f>'Chart Data Sheet'!$D$20:$D$22</c:f>
              <c:numCache>
                <c:formatCode>0.0%</c:formatCode>
                <c:ptCount val="3"/>
                <c:pt idx="0">
                  <c:v>0.18693947431450647</c:v>
                </c:pt>
                <c:pt idx="1">
                  <c:v>0.19057423835478823</c:v>
                </c:pt>
                <c:pt idx="2">
                  <c:v>0.1901623035828986</c:v>
                </c:pt>
              </c:numCache>
            </c:numRef>
          </c:val>
          <c:extLst>
            <c:ext xmlns:c16="http://schemas.microsoft.com/office/drawing/2014/chart" uri="{C3380CC4-5D6E-409C-BE32-E72D297353CC}">
              <c16:uniqueId val="{00000000-E4C9-4A48-B772-3B190696792E}"/>
            </c:ext>
          </c:extLst>
        </c:ser>
        <c:ser>
          <c:idx val="1"/>
          <c:order val="1"/>
          <c:tx>
            <c:v>Infosys</c:v>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Sheet'!$C$20:$C$22</c:f>
              <c:strCache>
                <c:ptCount val="3"/>
                <c:pt idx="0">
                  <c:v>FY23</c:v>
                </c:pt>
                <c:pt idx="1">
                  <c:v>FY24</c:v>
                </c:pt>
                <c:pt idx="2">
                  <c:v>FY25</c:v>
                </c:pt>
              </c:strCache>
            </c:strRef>
          </c:cat>
          <c:val>
            <c:numRef>
              <c:f>'Chart Data Sheet'!$E$20:$E$22</c:f>
              <c:numCache>
                <c:formatCode>0.0%</c:formatCode>
                <c:ptCount val="3"/>
                <c:pt idx="0">
                  <c:v>0.16417178248516356</c:v>
                </c:pt>
                <c:pt idx="1">
                  <c:v>0.17070996290752913</c:v>
                </c:pt>
                <c:pt idx="2">
                  <c:v>0.16389349039818393</c:v>
                </c:pt>
              </c:numCache>
            </c:numRef>
          </c:val>
          <c:extLst>
            <c:ext xmlns:c16="http://schemas.microsoft.com/office/drawing/2014/chart" uri="{C3380CC4-5D6E-409C-BE32-E72D297353CC}">
              <c16:uniqueId val="{00000001-E4C9-4A48-B772-3B190696792E}"/>
            </c:ext>
          </c:extLst>
        </c:ser>
        <c:dLbls>
          <c:dLblPos val="outEnd"/>
          <c:showLegendKey val="0"/>
          <c:showVal val="1"/>
          <c:showCatName val="0"/>
          <c:showSerName val="0"/>
          <c:showPercent val="0"/>
          <c:showBubbleSize val="0"/>
        </c:dLbls>
        <c:gapWidth val="219"/>
        <c:overlap val="-27"/>
        <c:axId val="1920186287"/>
        <c:axId val="1920193487"/>
      </c:barChart>
      <c:catAx>
        <c:axId val="192018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93487"/>
        <c:crosses val="autoZero"/>
        <c:auto val="1"/>
        <c:lblAlgn val="ctr"/>
        <c:lblOffset val="100"/>
        <c:noMultiLvlLbl val="0"/>
      </c:catAx>
      <c:valAx>
        <c:axId val="19201934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86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Arial" panose="020B0604020202020204" pitchFamily="34" charset="0"/>
                <a:cs typeface="Arial" panose="020B0604020202020204" pitchFamily="34" charset="0"/>
              </a:rPr>
              <a:t>EBITDA Margin% FY23-25</a:t>
            </a:r>
          </a:p>
        </c:rich>
      </c:tx>
      <c:overlay val="0"/>
      <c:spPr>
        <a:noFill/>
        <a:ln>
          <a:noFill/>
        </a:ln>
        <a:effectLst/>
      </c:spPr>
    </c:title>
    <c:autoTitleDeleted val="0"/>
    <c:plotArea>
      <c:layout/>
      <c:barChart>
        <c:barDir val="col"/>
        <c:grouping val="clustered"/>
        <c:varyColors val="0"/>
        <c:ser>
          <c:idx val="0"/>
          <c:order val="0"/>
          <c:tx>
            <c:v>TCS</c:v>
          </c:tx>
          <c:spPr>
            <a:solidFill>
              <a:srgbClr val="0070C0"/>
            </a:solidFill>
            <a:ln>
              <a:noFill/>
            </a:ln>
            <a:effectLst/>
          </c:spPr>
          <c:invertIfNegative val="0"/>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 Sheet'!$G$13:$G$15</c:f>
              <c:strCache>
                <c:ptCount val="3"/>
                <c:pt idx="0">
                  <c:v>FY23</c:v>
                </c:pt>
                <c:pt idx="1">
                  <c:v>FY24</c:v>
                </c:pt>
                <c:pt idx="2">
                  <c:v>FY25</c:v>
                </c:pt>
              </c:strCache>
            </c:strRef>
          </c:cat>
          <c:val>
            <c:numRef>
              <c:f>'Chart Data Sheet'!$H$13:$H$15</c:f>
              <c:numCache>
                <c:formatCode>0.0%</c:formatCode>
                <c:ptCount val="3"/>
                <c:pt idx="0">
                  <c:v>0.28511297004320096</c:v>
                </c:pt>
                <c:pt idx="1">
                  <c:v>0.28760071899141942</c:v>
                </c:pt>
                <c:pt idx="2">
                  <c:v>0.28453651047296769</c:v>
                </c:pt>
              </c:numCache>
            </c:numRef>
          </c:val>
          <c:extLst>
            <c:ext xmlns:c16="http://schemas.microsoft.com/office/drawing/2014/chart" uri="{C3380CC4-5D6E-409C-BE32-E72D297353CC}">
              <c16:uniqueId val="{00000003-D128-4150-98BA-C9FE7EDF68B9}"/>
            </c:ext>
          </c:extLst>
        </c:ser>
        <c:ser>
          <c:idx val="1"/>
          <c:order val="1"/>
          <c:tx>
            <c:v>Infosys</c:v>
          </c:tx>
          <c:spPr>
            <a:solidFill>
              <a:srgbClr val="002060"/>
            </a:solidFill>
            <a:ln>
              <a:noFill/>
            </a:ln>
            <a:effectLst/>
          </c:spPr>
          <c:invertIfNegative val="0"/>
          <c:dLbls>
            <c:spPr>
              <a:noFill/>
              <a:ln>
                <a:noFill/>
              </a:ln>
              <a:effectLst/>
            </c:spPr>
            <c:txPr>
              <a:bodyPr wrap="square" lIns="38100" tIns="19050" rIns="38100" bIns="19050" anchor="ctr">
                <a:spAutoFit/>
              </a:bodyPr>
              <a:lstStyle/>
              <a:p>
                <a:pPr>
                  <a:defRPr b="1">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 Sheet'!$G$13:$G$15</c:f>
              <c:strCache>
                <c:ptCount val="3"/>
                <c:pt idx="0">
                  <c:v>FY23</c:v>
                </c:pt>
                <c:pt idx="1">
                  <c:v>FY24</c:v>
                </c:pt>
                <c:pt idx="2">
                  <c:v>FY25</c:v>
                </c:pt>
              </c:strCache>
            </c:strRef>
          </c:cat>
          <c:val>
            <c:numRef>
              <c:f>'Chart Data Sheet'!$I$13:$I$15</c:f>
              <c:numCache>
                <c:formatCode>0.0%</c:formatCode>
                <c:ptCount val="3"/>
                <c:pt idx="0">
                  <c:v>0.26814610913897541</c:v>
                </c:pt>
                <c:pt idx="1">
                  <c:v>0.26747575974490789</c:v>
                </c:pt>
                <c:pt idx="2">
                  <c:v>0.270249708571078</c:v>
                </c:pt>
              </c:numCache>
            </c:numRef>
          </c:val>
          <c:extLst>
            <c:ext xmlns:c16="http://schemas.microsoft.com/office/drawing/2014/chart" uri="{C3380CC4-5D6E-409C-BE32-E72D297353CC}">
              <c16:uniqueId val="{00000005-D128-4150-98BA-C9FE7EDF68B9}"/>
            </c:ext>
          </c:extLst>
        </c:ser>
        <c:dLbls>
          <c:showLegendKey val="0"/>
          <c:showVal val="1"/>
          <c:showCatName val="0"/>
          <c:showSerName val="0"/>
          <c:showPercent val="0"/>
          <c:showBubbleSize val="0"/>
        </c:dLbls>
        <c:gapWidth val="219"/>
        <c:axId val="1920186287"/>
        <c:axId val="1920193487"/>
      </c:barChart>
      <c:catAx>
        <c:axId val="192018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93487"/>
        <c:crosses val="autoZero"/>
        <c:auto val="1"/>
        <c:lblAlgn val="ctr"/>
        <c:lblOffset val="100"/>
        <c:noMultiLvlLbl val="0"/>
      </c:catAx>
      <c:valAx>
        <c:axId val="1920193487"/>
        <c:scaling>
          <c:orientation val="minMax"/>
          <c:max val="0.30000000000000004"/>
          <c:min val="0.25"/>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86287"/>
        <c:crosses val="autoZero"/>
        <c:crossBetween val="between"/>
        <c:majorUnit val="1.0000000000000002E-2"/>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127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kumimoji="0" lang="en-IN" sz="1400" b="0" i="0" u="none" strike="noStrike" kern="1200" cap="none" spc="0" normalizeH="0" baseline="0" noProof="0">
                <a:ln>
                  <a:noFill/>
                </a:ln>
                <a:solidFill>
                  <a:srgbClr val="002060"/>
                </a:solidFill>
                <a:effectLst/>
                <a:uLnTx/>
                <a:uFillTx/>
                <a:latin typeface="Arial" panose="020B0604020202020204" pitchFamily="34" charset="0"/>
                <a:cs typeface="Arial" panose="020B0604020202020204" pitchFamily="34" charset="0"/>
              </a:rPr>
              <a:t>Interest Coverage Ratio FY23-25</a:t>
            </a:r>
          </a:p>
        </c:rich>
      </c:tx>
      <c:overlay val="0"/>
    </c:title>
    <c:autoTitleDeleted val="0"/>
    <c:plotArea>
      <c:layout/>
      <c:barChart>
        <c:barDir val="bar"/>
        <c:grouping val="clustered"/>
        <c:varyColors val="0"/>
        <c:ser>
          <c:idx val="0"/>
          <c:order val="0"/>
          <c:tx>
            <c:v>Infosys</c:v>
          </c:tx>
          <c:spPr>
            <a:solidFill>
              <a:srgbClr val="0070C0"/>
            </a:solidFill>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 Sheet'!$G$20:$G$22</c:f>
              <c:strCache>
                <c:ptCount val="3"/>
                <c:pt idx="0">
                  <c:v>FY23</c:v>
                </c:pt>
                <c:pt idx="1">
                  <c:v>FY24</c:v>
                </c:pt>
                <c:pt idx="2">
                  <c:v>FY25</c:v>
                </c:pt>
              </c:strCache>
            </c:strRef>
          </c:cat>
          <c:val>
            <c:numRef>
              <c:f>'Chart Data Sheet'!$H$20:$H$22</c:f>
              <c:numCache>
                <c:formatCode>0.0</c:formatCode>
                <c:ptCount val="3"/>
                <c:pt idx="0">
                  <c:v>76.070603337612326</c:v>
                </c:pt>
                <c:pt idx="1">
                  <c:v>82.642673521850895</c:v>
                </c:pt>
                <c:pt idx="2">
                  <c:v>84.6821608040201</c:v>
                </c:pt>
              </c:numCache>
            </c:numRef>
          </c:val>
          <c:extLst>
            <c:ext xmlns:c16="http://schemas.microsoft.com/office/drawing/2014/chart" uri="{C3380CC4-5D6E-409C-BE32-E72D297353CC}">
              <c16:uniqueId val="{00000000-3BCC-4353-8FEE-5BF56546C05E}"/>
            </c:ext>
          </c:extLst>
        </c:ser>
        <c:ser>
          <c:idx val="1"/>
          <c:order val="1"/>
          <c:tx>
            <c:v>TCS</c:v>
          </c:tx>
          <c:spPr>
            <a:solidFill>
              <a:srgbClr val="002060"/>
            </a:solidFill>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 Sheet'!$G$20:$G$22</c:f>
              <c:strCache>
                <c:ptCount val="3"/>
                <c:pt idx="0">
                  <c:v>FY23</c:v>
                </c:pt>
                <c:pt idx="1">
                  <c:v>FY24</c:v>
                </c:pt>
                <c:pt idx="2">
                  <c:v>FY25</c:v>
                </c:pt>
              </c:strCache>
            </c:strRef>
          </c:cat>
          <c:val>
            <c:numRef>
              <c:f>'Chart Data Sheet'!$I$20:$I$22</c:f>
              <c:numCache>
                <c:formatCode>0.0</c:formatCode>
                <c:ptCount val="3"/>
                <c:pt idx="0">
                  <c:v>123.69718309859155</c:v>
                </c:pt>
                <c:pt idx="1">
                  <c:v>77.5</c:v>
                </c:pt>
                <c:pt idx="2">
                  <c:v>94.317307692307693</c:v>
                </c:pt>
              </c:numCache>
            </c:numRef>
          </c:val>
          <c:extLst>
            <c:ext xmlns:c16="http://schemas.microsoft.com/office/drawing/2014/chart" uri="{C3380CC4-5D6E-409C-BE32-E72D297353CC}">
              <c16:uniqueId val="{00000001-3BCC-4353-8FEE-5BF56546C05E}"/>
            </c:ext>
          </c:extLst>
        </c:ser>
        <c:dLbls>
          <c:dLblPos val="outEnd"/>
          <c:showLegendKey val="0"/>
          <c:showVal val="1"/>
          <c:showCatName val="0"/>
          <c:showSerName val="0"/>
          <c:showPercent val="0"/>
          <c:showBubbleSize val="0"/>
        </c:dLbls>
        <c:gapWidth val="150"/>
        <c:axId val="939394047"/>
        <c:axId val="939383967"/>
      </c:barChart>
      <c:catAx>
        <c:axId val="939394047"/>
        <c:scaling>
          <c:orientation val="minMax"/>
        </c:scaling>
        <c:delete val="0"/>
        <c:axPos val="l"/>
        <c:numFmt formatCode="General" sourceLinked="1"/>
        <c:majorTickMark val="out"/>
        <c:minorTickMark val="none"/>
        <c:tickLblPos val="nextTo"/>
        <c:txPr>
          <a:bodyPr/>
          <a:lstStyle/>
          <a:p>
            <a:pPr>
              <a:defRPr>
                <a:solidFill>
                  <a:schemeClr val="tx1">
                    <a:lumMod val="50000"/>
                    <a:lumOff val="50000"/>
                  </a:schemeClr>
                </a:solidFill>
              </a:defRPr>
            </a:pPr>
            <a:endParaRPr lang="en-US"/>
          </a:p>
        </c:txPr>
        <c:crossAx val="939383967"/>
        <c:crosses val="autoZero"/>
        <c:auto val="1"/>
        <c:lblAlgn val="ctr"/>
        <c:lblOffset val="100"/>
        <c:noMultiLvlLbl val="0"/>
      </c:catAx>
      <c:valAx>
        <c:axId val="939383967"/>
        <c:scaling>
          <c:orientation val="minMax"/>
        </c:scaling>
        <c:delete val="0"/>
        <c:axPos val="b"/>
        <c:numFmt formatCode="0.0" sourceLinked="1"/>
        <c:majorTickMark val="out"/>
        <c:minorTickMark val="none"/>
        <c:tickLblPos val="nextTo"/>
        <c:txPr>
          <a:bodyPr/>
          <a:lstStyle/>
          <a:p>
            <a:pPr>
              <a:defRPr>
                <a:solidFill>
                  <a:schemeClr val="tx1">
                    <a:lumMod val="50000"/>
                    <a:lumOff val="50000"/>
                  </a:schemeClr>
                </a:solidFill>
              </a:defRPr>
            </a:pPr>
            <a:endParaRPr lang="en-US"/>
          </a:p>
        </c:txPr>
        <c:crossAx val="939394047"/>
        <c:crosses val="autoZero"/>
        <c:crossBetween val="between"/>
      </c:valAx>
    </c:plotArea>
    <c:legend>
      <c:legendPos val="b"/>
      <c:overlay val="0"/>
      <c:txPr>
        <a:bodyPr/>
        <a:lstStyle/>
        <a:p>
          <a:pPr>
            <a:defRPr>
              <a:solidFill>
                <a:schemeClr val="tx1">
                  <a:lumMod val="50000"/>
                  <a:lumOff val="50000"/>
                </a:schemeClr>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1270">
      <a:solidFill>
        <a:schemeClr val="tx1">
          <a:lumMod val="15000"/>
          <a:lumOff val="85000"/>
        </a:schemeClr>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Arial" panose="020B0604020202020204" pitchFamily="34" charset="0"/>
                <a:cs typeface="Arial" panose="020B0604020202020204" pitchFamily="34" charset="0"/>
              </a:rPr>
              <a:t>ROE%</a:t>
            </a:r>
            <a:r>
              <a:rPr lang="en-IN" baseline="0">
                <a:solidFill>
                  <a:srgbClr val="002060"/>
                </a:solidFill>
                <a:latin typeface="Arial" panose="020B0604020202020204" pitchFamily="34" charset="0"/>
                <a:cs typeface="Arial" panose="020B0604020202020204" pitchFamily="34" charset="0"/>
              </a:rPr>
              <a:t> FY23-25</a:t>
            </a:r>
            <a:endParaRPr lang="en-IN">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TCS</c:v>
          </c:tx>
          <c:spPr>
            <a:ln w="2857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Sheet'!$G$5:$G$7</c:f>
              <c:strCache>
                <c:ptCount val="3"/>
                <c:pt idx="0">
                  <c:v>FY23</c:v>
                </c:pt>
                <c:pt idx="1">
                  <c:v>FY24</c:v>
                </c:pt>
                <c:pt idx="2">
                  <c:v>FY25</c:v>
                </c:pt>
              </c:strCache>
            </c:strRef>
          </c:cat>
          <c:val>
            <c:numRef>
              <c:f>'Chart Data Sheet'!$H$5:$H$7</c:f>
              <c:numCache>
                <c:formatCode>0.0%</c:formatCode>
                <c:ptCount val="3"/>
                <c:pt idx="0">
                  <c:v>0.46610413164646552</c:v>
                </c:pt>
                <c:pt idx="1">
                  <c:v>0.50733238294157301</c:v>
                </c:pt>
                <c:pt idx="2">
                  <c:v>0.51240027016758838</c:v>
                </c:pt>
              </c:numCache>
            </c:numRef>
          </c:val>
          <c:smooth val="1"/>
          <c:extLst>
            <c:ext xmlns:c16="http://schemas.microsoft.com/office/drawing/2014/chart" uri="{C3380CC4-5D6E-409C-BE32-E72D297353CC}">
              <c16:uniqueId val="{00000000-FEF4-458C-BB5E-8CE3AAB19050}"/>
            </c:ext>
          </c:extLst>
        </c:ser>
        <c:ser>
          <c:idx val="1"/>
          <c:order val="1"/>
          <c:tx>
            <c:v>Infosys</c:v>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 Sheet'!$G$5:$G$7</c:f>
              <c:strCache>
                <c:ptCount val="3"/>
                <c:pt idx="0">
                  <c:v>FY23</c:v>
                </c:pt>
                <c:pt idx="1">
                  <c:v>FY24</c:v>
                </c:pt>
                <c:pt idx="2">
                  <c:v>FY25</c:v>
                </c:pt>
              </c:strCache>
            </c:strRef>
          </c:cat>
          <c:val>
            <c:numRef>
              <c:f>'Chart Data Sheet'!$I$5:$I$7</c:f>
              <c:numCache>
                <c:formatCode>0.0%</c:formatCode>
                <c:ptCount val="3"/>
                <c:pt idx="0">
                  <c:v>0.31953266938082669</c:v>
                </c:pt>
                <c:pt idx="1">
                  <c:v>0.29770983703300197</c:v>
                </c:pt>
                <c:pt idx="2">
                  <c:v>0.27878895405873633</c:v>
                </c:pt>
              </c:numCache>
            </c:numRef>
          </c:val>
          <c:smooth val="1"/>
          <c:extLst>
            <c:ext xmlns:c16="http://schemas.microsoft.com/office/drawing/2014/chart" uri="{C3380CC4-5D6E-409C-BE32-E72D297353CC}">
              <c16:uniqueId val="{00000001-FEF4-458C-BB5E-8CE3AAB19050}"/>
            </c:ext>
          </c:extLst>
        </c:ser>
        <c:dLbls>
          <c:dLblPos val="t"/>
          <c:showLegendKey val="0"/>
          <c:showVal val="1"/>
          <c:showCatName val="0"/>
          <c:showSerName val="0"/>
          <c:showPercent val="0"/>
          <c:showBubbleSize val="0"/>
        </c:dLbls>
        <c:smooth val="0"/>
        <c:axId val="1750096191"/>
        <c:axId val="1750097631"/>
      </c:lineChart>
      <c:catAx>
        <c:axId val="175009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97631"/>
        <c:crosses val="autoZero"/>
        <c:auto val="1"/>
        <c:lblAlgn val="ctr"/>
        <c:lblOffset val="100"/>
        <c:noMultiLvlLbl val="0"/>
      </c:catAx>
      <c:valAx>
        <c:axId val="1750097631"/>
        <c:scaling>
          <c:orientation val="minMax"/>
          <c:min val="0.25"/>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9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27</xdr:row>
      <xdr:rowOff>60960</xdr:rowOff>
    </xdr:from>
    <xdr:to>
      <xdr:col>8</xdr:col>
      <xdr:colOff>45720</xdr:colOff>
      <xdr:row>40</xdr:row>
      <xdr:rowOff>144780</xdr:rowOff>
    </xdr:to>
    <xdr:graphicFrame macro="">
      <xdr:nvGraphicFramePr>
        <xdr:cNvPr id="5" name="Chart 4">
          <a:extLst>
            <a:ext uri="{FF2B5EF4-FFF2-40B4-BE49-F238E27FC236}">
              <a16:creationId xmlns:a16="http://schemas.microsoft.com/office/drawing/2014/main" id="{08B0742A-E557-4BD0-BA5F-F2582D4BC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53493</xdr:colOff>
      <xdr:row>24</xdr:row>
      <xdr:rowOff>138545</xdr:rowOff>
    </xdr:from>
    <xdr:to>
      <xdr:col>8</xdr:col>
      <xdr:colOff>161635</xdr:colOff>
      <xdr:row>38</xdr:row>
      <xdr:rowOff>67271</xdr:rowOff>
    </xdr:to>
    <xdr:graphicFrame macro="">
      <xdr:nvGraphicFramePr>
        <xdr:cNvPr id="8" name="Chart 7">
          <a:extLst>
            <a:ext uri="{FF2B5EF4-FFF2-40B4-BE49-F238E27FC236}">
              <a16:creationId xmlns:a16="http://schemas.microsoft.com/office/drawing/2014/main" id="{3C835561-0FB3-47A3-ACC3-FABC59DE7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238606</xdr:colOff>
      <xdr:row>24</xdr:row>
      <xdr:rowOff>138544</xdr:rowOff>
    </xdr:from>
    <xdr:to>
      <xdr:col>15</xdr:col>
      <xdr:colOff>356633</xdr:colOff>
      <xdr:row>38</xdr:row>
      <xdr:rowOff>61574</xdr:rowOff>
    </xdr:to>
    <xdr:graphicFrame macro="">
      <xdr:nvGraphicFramePr>
        <xdr:cNvPr id="9" name="Chart 8">
          <a:extLst>
            <a:ext uri="{FF2B5EF4-FFF2-40B4-BE49-F238E27FC236}">
              <a16:creationId xmlns:a16="http://schemas.microsoft.com/office/drawing/2014/main" id="{D73424B9-E09B-4DD6-9A38-DE990FFB4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238607</xdr:colOff>
      <xdr:row>8</xdr:row>
      <xdr:rowOff>161637</xdr:rowOff>
    </xdr:from>
    <xdr:to>
      <xdr:col>15</xdr:col>
      <xdr:colOff>384849</xdr:colOff>
      <xdr:row>23</xdr:row>
      <xdr:rowOff>100061</xdr:rowOff>
    </xdr:to>
    <xdr:graphicFrame macro="">
      <xdr:nvGraphicFramePr>
        <xdr:cNvPr id="10" name="Chart 9">
          <a:extLst>
            <a:ext uri="{FF2B5EF4-FFF2-40B4-BE49-F238E27FC236}">
              <a16:creationId xmlns:a16="http://schemas.microsoft.com/office/drawing/2014/main" id="{3B241060-3AD3-480F-B3CD-C5F16A0C0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454121</xdr:colOff>
      <xdr:row>24</xdr:row>
      <xdr:rowOff>138545</xdr:rowOff>
    </xdr:from>
    <xdr:to>
      <xdr:col>23</xdr:col>
      <xdr:colOff>254000</xdr:colOff>
      <xdr:row>38</xdr:row>
      <xdr:rowOff>61575</xdr:rowOff>
    </xdr:to>
    <xdr:graphicFrame macro="">
      <xdr:nvGraphicFramePr>
        <xdr:cNvPr id="12" name="Chart 11">
          <a:extLst>
            <a:ext uri="{FF2B5EF4-FFF2-40B4-BE49-F238E27FC236}">
              <a16:creationId xmlns:a16="http://schemas.microsoft.com/office/drawing/2014/main" id="{B5A3C6D9-6EA4-4729-8FAB-EFDB2C6BB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454121</xdr:colOff>
      <xdr:row>8</xdr:row>
      <xdr:rowOff>161635</xdr:rowOff>
    </xdr:from>
    <xdr:to>
      <xdr:col>23</xdr:col>
      <xdr:colOff>246302</xdr:colOff>
      <xdr:row>23</xdr:row>
      <xdr:rowOff>119581</xdr:rowOff>
    </xdr:to>
    <xdr:graphicFrame macro="">
      <xdr:nvGraphicFramePr>
        <xdr:cNvPr id="13" name="Chart 12">
          <a:extLst>
            <a:ext uri="{FF2B5EF4-FFF2-40B4-BE49-F238E27FC236}">
              <a16:creationId xmlns:a16="http://schemas.microsoft.com/office/drawing/2014/main" id="{0B643E75-EDBF-46AE-8819-25E7F3C2C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50692</xdr:colOff>
      <xdr:row>8</xdr:row>
      <xdr:rowOff>152086</xdr:rowOff>
    </xdr:from>
    <xdr:to>
      <xdr:col>8</xdr:col>
      <xdr:colOff>169333</xdr:colOff>
      <xdr:row>23</xdr:row>
      <xdr:rowOff>107759</xdr:rowOff>
    </xdr:to>
    <xdr:graphicFrame macro="">
      <xdr:nvGraphicFramePr>
        <xdr:cNvPr id="14" name="Chart 13">
          <a:extLst>
            <a:ext uri="{FF2B5EF4-FFF2-40B4-BE49-F238E27FC236}">
              <a16:creationId xmlns:a16="http://schemas.microsoft.com/office/drawing/2014/main" id="{A312E07E-E5C0-48A0-B3A3-A1771D63F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285316</xdr:colOff>
      <xdr:row>2</xdr:row>
      <xdr:rowOff>7092</xdr:rowOff>
    </xdr:from>
    <xdr:to>
      <xdr:col>5</xdr:col>
      <xdr:colOff>295085</xdr:colOff>
      <xdr:row>7</xdr:row>
      <xdr:rowOff>75476</xdr:rowOff>
    </xdr:to>
    <xdr:sp macro="" textlink="">
      <xdr:nvSpPr>
        <xdr:cNvPr id="2" name="Rectangle 1">
          <a:extLst>
            <a:ext uri="{FF2B5EF4-FFF2-40B4-BE49-F238E27FC236}">
              <a16:creationId xmlns:a16="http://schemas.microsoft.com/office/drawing/2014/main" id="{2ADCE846-A945-0E56-81B5-F6E7C9E93F8A}"/>
            </a:ext>
          </a:extLst>
        </xdr:cNvPr>
        <xdr:cNvSpPr/>
      </xdr:nvSpPr>
      <xdr:spPr>
        <a:xfrm>
          <a:off x="1047316" y="466380"/>
          <a:ext cx="1826043" cy="1007836"/>
        </a:xfrm>
        <a:prstGeom prst="rect">
          <a:avLst/>
        </a:prstGeom>
        <a:solidFill>
          <a:srgbClr val="002060"/>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bg1"/>
              </a:solidFill>
            </a:rPr>
            <a:t>TCS ROE </a:t>
          </a:r>
        </a:p>
        <a:p>
          <a:pPr algn="ctr"/>
          <a:r>
            <a:rPr lang="en-IN" sz="1600">
              <a:solidFill>
                <a:schemeClr val="bg1"/>
              </a:solidFill>
            </a:rPr>
            <a:t>51.2%</a:t>
          </a:r>
        </a:p>
        <a:p>
          <a:pPr algn="ctr"/>
          <a:r>
            <a:rPr lang="en-IN" sz="1600">
              <a:solidFill>
                <a:srgbClr val="00B050"/>
              </a:solidFill>
            </a:rPr>
            <a:t>▲</a:t>
          </a:r>
          <a:r>
            <a:rPr lang="en-IN" sz="1600">
              <a:solidFill>
                <a:schemeClr val="bg1"/>
              </a:solidFill>
            </a:rPr>
            <a:t> Improving</a:t>
          </a:r>
          <a:endParaRPr lang="en-IN" sz="1600" b="1">
            <a:solidFill>
              <a:schemeClr val="bg1"/>
            </a:solidFill>
          </a:endParaRPr>
        </a:p>
      </xdr:txBody>
    </xdr:sp>
    <xdr:clientData/>
  </xdr:twoCellAnchor>
  <xdr:twoCellAnchor>
    <xdr:from>
      <xdr:col>7</xdr:col>
      <xdr:colOff>571553</xdr:colOff>
      <xdr:row>2</xdr:row>
      <xdr:rowOff>10385</xdr:rowOff>
    </xdr:from>
    <xdr:to>
      <xdr:col>10</xdr:col>
      <xdr:colOff>581322</xdr:colOff>
      <xdr:row>7</xdr:row>
      <xdr:rowOff>78769</xdr:rowOff>
    </xdr:to>
    <xdr:sp macro="" textlink="">
      <xdr:nvSpPr>
        <xdr:cNvPr id="19" name="Rectangle 18">
          <a:extLst>
            <a:ext uri="{FF2B5EF4-FFF2-40B4-BE49-F238E27FC236}">
              <a16:creationId xmlns:a16="http://schemas.microsoft.com/office/drawing/2014/main" id="{8F052ABF-8EEC-49C5-A91A-1B1914DE558D}"/>
            </a:ext>
          </a:extLst>
        </xdr:cNvPr>
        <xdr:cNvSpPr/>
      </xdr:nvSpPr>
      <xdr:spPr>
        <a:xfrm>
          <a:off x="4381553" y="467585"/>
          <a:ext cx="1838569" cy="1006230"/>
        </a:xfrm>
        <a:prstGeom prst="rect">
          <a:avLst/>
        </a:prstGeom>
        <a:solidFill>
          <a:srgbClr val="002060"/>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bg1"/>
              </a:solidFill>
            </a:rPr>
            <a:t>Infosys ROE</a:t>
          </a:r>
        </a:p>
        <a:p>
          <a:pPr algn="ctr"/>
          <a:r>
            <a:rPr lang="en-IN" sz="1600">
              <a:solidFill>
                <a:schemeClr val="bg1"/>
              </a:solidFill>
            </a:rPr>
            <a:t>27.9%</a:t>
          </a:r>
        </a:p>
        <a:p>
          <a:pPr algn="ctr"/>
          <a:r>
            <a:rPr lang="en-IN" sz="1600">
              <a:solidFill>
                <a:srgbClr val="C00000"/>
              </a:solidFill>
            </a:rPr>
            <a:t>▼</a:t>
          </a:r>
          <a:r>
            <a:rPr lang="en-IN" sz="1600">
              <a:solidFill>
                <a:schemeClr val="bg1"/>
              </a:solidFill>
            </a:rPr>
            <a:t> Declining</a:t>
          </a:r>
          <a:endParaRPr lang="en-IN" sz="1600" b="1">
            <a:solidFill>
              <a:schemeClr val="bg1"/>
            </a:solidFill>
          </a:endParaRPr>
        </a:p>
      </xdr:txBody>
    </xdr:sp>
    <xdr:clientData/>
  </xdr:twoCellAnchor>
  <xdr:twoCellAnchor>
    <xdr:from>
      <xdr:col>13</xdr:col>
      <xdr:colOff>217855</xdr:colOff>
      <xdr:row>2</xdr:row>
      <xdr:rowOff>4886</xdr:rowOff>
    </xdr:from>
    <xdr:to>
      <xdr:col>16</xdr:col>
      <xdr:colOff>227624</xdr:colOff>
      <xdr:row>7</xdr:row>
      <xdr:rowOff>73270</xdr:rowOff>
    </xdr:to>
    <xdr:sp macro="" textlink="">
      <xdr:nvSpPr>
        <xdr:cNvPr id="20" name="Rectangle 19">
          <a:extLst>
            <a:ext uri="{FF2B5EF4-FFF2-40B4-BE49-F238E27FC236}">
              <a16:creationId xmlns:a16="http://schemas.microsoft.com/office/drawing/2014/main" id="{ACCFCB9D-1778-4FDB-A51F-587A51D109F5}"/>
            </a:ext>
          </a:extLst>
        </xdr:cNvPr>
        <xdr:cNvSpPr/>
      </xdr:nvSpPr>
      <xdr:spPr>
        <a:xfrm>
          <a:off x="7685455" y="462086"/>
          <a:ext cx="1838569" cy="1006230"/>
        </a:xfrm>
        <a:prstGeom prst="rect">
          <a:avLst/>
        </a:prstGeom>
        <a:solidFill>
          <a:srgbClr val="002060"/>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bg1"/>
              </a:solidFill>
            </a:rPr>
            <a:t>TCS Net</a:t>
          </a:r>
          <a:r>
            <a:rPr lang="en-IN" sz="1600" b="1" baseline="0">
              <a:solidFill>
                <a:schemeClr val="bg1"/>
              </a:solidFill>
            </a:rPr>
            <a:t> Margin</a:t>
          </a:r>
          <a:endParaRPr lang="en-IN" sz="1600" b="1">
            <a:solidFill>
              <a:schemeClr val="bg1"/>
            </a:solidFill>
          </a:endParaRPr>
        </a:p>
        <a:p>
          <a:pPr algn="ctr"/>
          <a:r>
            <a:rPr lang="en-IN" sz="1600">
              <a:solidFill>
                <a:schemeClr val="bg1"/>
              </a:solidFill>
            </a:rPr>
            <a:t>19%</a:t>
          </a:r>
        </a:p>
        <a:p>
          <a:pPr algn="ctr"/>
          <a:r>
            <a:rPr lang="en-IN" sz="1600"/>
            <a:t>✅ </a:t>
          </a:r>
          <a:r>
            <a:rPr lang="en-IN" sz="1600">
              <a:solidFill>
                <a:schemeClr val="bg1"/>
              </a:solidFill>
            </a:rPr>
            <a:t>Stable</a:t>
          </a:r>
          <a:endParaRPr lang="en-IN" sz="1600" b="1">
            <a:solidFill>
              <a:schemeClr val="bg1"/>
            </a:solidFill>
          </a:endParaRPr>
        </a:p>
      </xdr:txBody>
    </xdr:sp>
    <xdr:clientData/>
  </xdr:twoCellAnchor>
  <xdr:twoCellAnchor>
    <xdr:from>
      <xdr:col>18</xdr:col>
      <xdr:colOff>409331</xdr:colOff>
      <xdr:row>1</xdr:row>
      <xdr:rowOff>175844</xdr:rowOff>
    </xdr:from>
    <xdr:to>
      <xdr:col>21</xdr:col>
      <xdr:colOff>471854</xdr:colOff>
      <xdr:row>7</xdr:row>
      <xdr:rowOff>67407</xdr:rowOff>
    </xdr:to>
    <xdr:sp macro="" textlink="">
      <xdr:nvSpPr>
        <xdr:cNvPr id="21" name="Rectangle 20">
          <a:extLst>
            <a:ext uri="{FF2B5EF4-FFF2-40B4-BE49-F238E27FC236}">
              <a16:creationId xmlns:a16="http://schemas.microsoft.com/office/drawing/2014/main" id="{824DC3EE-A7FF-4F80-9444-67E8AD738AA4}"/>
            </a:ext>
          </a:extLst>
        </xdr:cNvPr>
        <xdr:cNvSpPr/>
      </xdr:nvSpPr>
      <xdr:spPr>
        <a:xfrm>
          <a:off x="10924931" y="445475"/>
          <a:ext cx="1891323" cy="1016978"/>
        </a:xfrm>
        <a:prstGeom prst="rect">
          <a:avLst/>
        </a:prstGeom>
        <a:solidFill>
          <a:srgbClr val="002060"/>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chemeClr val="bg1"/>
              </a:solidFill>
            </a:rPr>
            <a:t>Infosys Net Margin</a:t>
          </a:r>
        </a:p>
        <a:p>
          <a:pPr algn="ctr"/>
          <a:r>
            <a:rPr lang="en-IN" sz="1600">
              <a:solidFill>
                <a:schemeClr val="bg1"/>
              </a:solidFill>
            </a:rPr>
            <a:t>16%</a:t>
          </a:r>
        </a:p>
        <a:p>
          <a:pPr algn="ctr"/>
          <a:r>
            <a:rPr lang="en-IN" sz="1600"/>
            <a:t>✅ </a:t>
          </a:r>
          <a:r>
            <a:rPr lang="en-IN" sz="1600">
              <a:solidFill>
                <a:schemeClr val="bg1"/>
              </a:solidFill>
            </a:rPr>
            <a:t>Stable</a:t>
          </a:r>
          <a:endParaRPr lang="en-IN" sz="16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1136754</xdr:colOff>
      <xdr:row>29</xdr:row>
      <xdr:rowOff>0</xdr:rowOff>
    </xdr:from>
    <xdr:to>
      <xdr:col>3</xdr:col>
      <xdr:colOff>9896</xdr:colOff>
      <xdr:row>45</xdr:row>
      <xdr:rowOff>9896</xdr:rowOff>
    </xdr:to>
    <xdr:sp macro="" textlink="">
      <xdr:nvSpPr>
        <xdr:cNvPr id="4" name="Rectangle 3">
          <a:extLst>
            <a:ext uri="{FF2B5EF4-FFF2-40B4-BE49-F238E27FC236}">
              <a16:creationId xmlns:a16="http://schemas.microsoft.com/office/drawing/2014/main" id="{84DFF496-E5CE-639F-256D-97CA316B5921}"/>
            </a:ext>
          </a:extLst>
        </xdr:cNvPr>
        <xdr:cNvSpPr/>
      </xdr:nvSpPr>
      <xdr:spPr>
        <a:xfrm>
          <a:off x="1274164" y="13653541"/>
          <a:ext cx="8092093" cy="2957962"/>
        </a:xfrm>
        <a:prstGeom prst="rect">
          <a:avLst/>
        </a:prstGeom>
        <a:solidFill>
          <a:schemeClr val="tx2">
            <a:lumMod val="10000"/>
            <a:lumOff val="9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99730</xdr:colOff>
      <xdr:row>29</xdr:row>
      <xdr:rowOff>152081</xdr:rowOff>
    </xdr:from>
    <xdr:to>
      <xdr:col>2</xdr:col>
      <xdr:colOff>3966568</xdr:colOff>
      <xdr:row>44</xdr:row>
      <xdr:rowOff>86469</xdr:rowOff>
    </xdr:to>
    <xdr:sp macro="" textlink="">
      <xdr:nvSpPr>
        <xdr:cNvPr id="2" name="TextBox 1">
          <a:extLst>
            <a:ext uri="{FF2B5EF4-FFF2-40B4-BE49-F238E27FC236}">
              <a16:creationId xmlns:a16="http://schemas.microsoft.com/office/drawing/2014/main" id="{FD4B87DC-066A-AF01-95B0-10E558919884}"/>
            </a:ext>
          </a:extLst>
        </xdr:cNvPr>
        <xdr:cNvSpPr txBox="1"/>
      </xdr:nvSpPr>
      <xdr:spPr>
        <a:xfrm>
          <a:off x="1398878" y="13805622"/>
          <a:ext cx="3866838" cy="2695077"/>
        </a:xfrm>
        <a:prstGeom prst="rect">
          <a:avLst/>
        </a:prstGeom>
        <a:solidFill>
          <a:sysClr val="window" lastClr="FFFFFF"/>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1">
              <a:solidFill>
                <a:srgbClr val="002060"/>
              </a:solidFill>
              <a:effectLst/>
              <a:latin typeface="Calibri" panose="020F0502020204030204" pitchFamily="34" charset="0"/>
              <a:ea typeface="Calibri" panose="020F0502020204030204" pitchFamily="34" charset="0"/>
              <a:cs typeface="Calibri" panose="020F0502020204030204" pitchFamily="34" charset="0"/>
            </a:rPr>
            <a:t>TCS Strengths</a:t>
          </a:r>
        </a:p>
        <a:p>
          <a:endParaRPr lang="en-IN" sz="1000" b="1"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1. Higher and rising profitability </a:t>
          </a:r>
          <a:r>
            <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Net profit margin (19%), ROE (51.2%), and ROCE (65.3%) all either beat or significantly exceed Infosys, and have been improving across all three years.</a:t>
          </a:r>
        </a:p>
        <a:p>
          <a:endPar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2.</a:t>
          </a:r>
          <a:r>
            <a:rPr lang="en-IN" sz="900" b="1" i="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900" b="1" i="1" u="none">
              <a:solidFill>
                <a:schemeClr val="dk1"/>
              </a:solidFill>
              <a:effectLst/>
              <a:latin typeface="Calibri" panose="020F0502020204030204" pitchFamily="34" charset="0"/>
              <a:ea typeface="Calibri" panose="020F0502020204030204" pitchFamily="34" charset="0"/>
              <a:cs typeface="Calibri" panose="020F0502020204030204" pitchFamily="34" charset="0"/>
            </a:rPr>
            <a:t>Far superior asset utilisation </a:t>
          </a:r>
          <a:r>
            <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Asset turnover of 1.61× vs Infosys's 1.10× means TCS extracts dramatically more revenue from every rupee of assets it holds.</a:t>
          </a:r>
        </a:p>
        <a:p>
          <a:endPar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3. Faster revenue and profit growth </a:t>
          </a:r>
          <a:r>
            <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Revenue grew 6.0% and net profit 5.8% in FY25 vs Infosys's 6.1% and 1.8%, respectively. On the profit side, TCS is pulling ahead decisively.</a:t>
          </a:r>
        </a:p>
        <a:p>
          <a:endPar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4. ROE trend is improving </a:t>
          </a:r>
          <a:r>
            <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TCS's ROE rose from 46.6% → 50.7% → 51.2% showing compounding capital efficiency, while Infosys's has been declining.</a:t>
          </a:r>
        </a:p>
        <a:p>
          <a:endParaRPr lang="en-IN" sz="1050"/>
        </a:p>
      </xdr:txBody>
    </xdr:sp>
    <xdr:clientData/>
  </xdr:twoCellAnchor>
  <xdr:twoCellAnchor>
    <xdr:from>
      <xdr:col>2</xdr:col>
      <xdr:colOff>4019998</xdr:colOff>
      <xdr:row>29</xdr:row>
      <xdr:rowOff>152082</xdr:rowOff>
    </xdr:from>
    <xdr:to>
      <xdr:col>2</xdr:col>
      <xdr:colOff>8050978</xdr:colOff>
      <xdr:row>44</xdr:row>
      <xdr:rowOff>86470</xdr:rowOff>
    </xdr:to>
    <xdr:sp macro="" textlink="">
      <xdr:nvSpPr>
        <xdr:cNvPr id="3" name="TextBox 2">
          <a:extLst>
            <a:ext uri="{FF2B5EF4-FFF2-40B4-BE49-F238E27FC236}">
              <a16:creationId xmlns:a16="http://schemas.microsoft.com/office/drawing/2014/main" id="{F6CF37BA-D449-69C9-44F1-BB060EB8F618}"/>
            </a:ext>
          </a:extLst>
        </xdr:cNvPr>
        <xdr:cNvSpPr txBox="1"/>
      </xdr:nvSpPr>
      <xdr:spPr>
        <a:xfrm>
          <a:off x="5319146" y="13805623"/>
          <a:ext cx="4030980" cy="2695077"/>
        </a:xfrm>
        <a:prstGeom prst="rect">
          <a:avLst/>
        </a:prstGeom>
        <a:solidFill>
          <a:sysClr val="window" lastClr="FFFFFF"/>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1">
              <a:solidFill>
                <a:srgbClr val="002060"/>
              </a:solidFill>
              <a:effectLst/>
              <a:latin typeface="Calibri" panose="020F0502020204030204" pitchFamily="34" charset="0"/>
              <a:ea typeface="Calibri" panose="020F0502020204030204" pitchFamily="34" charset="0"/>
              <a:cs typeface="Calibri" panose="020F0502020204030204" pitchFamily="34" charset="0"/>
            </a:rPr>
            <a:t>Infosys Strengths</a:t>
          </a:r>
        </a:p>
        <a:p>
          <a:endPar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1. Better debtor collection </a:t>
          </a:r>
          <a:r>
            <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69 days vs TCS's 83 days means Infosys turns revenue into cash ~14 days faster, a meaningful working capital advantage.</a:t>
          </a:r>
        </a:p>
        <a:p>
          <a:endPar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2.</a:t>
          </a:r>
          <a:r>
            <a:rPr lang="en-IN" sz="900" b="1" i="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Improving liquidity ratios </a:t>
          </a:r>
          <a:r>
            <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Current ratio of 2.11 vs TCS's 1.89 means Infosys has a more comfortable buffer to cover short-term obligations.</a:t>
          </a:r>
        </a:p>
        <a:p>
          <a:endPar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3.</a:t>
          </a:r>
          <a:r>
            <a:rPr lang="en-IN" sz="900" b="1" i="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900" b="1" i="1">
              <a:solidFill>
                <a:schemeClr val="dk1"/>
              </a:solidFill>
              <a:effectLst/>
              <a:latin typeface="Calibri" panose="020F0502020204030204" pitchFamily="34" charset="0"/>
              <a:ea typeface="Calibri" panose="020F0502020204030204" pitchFamily="34" charset="0"/>
              <a:cs typeface="Calibri" panose="020F0502020204030204" pitchFamily="34" charset="0"/>
            </a:rPr>
            <a:t>Active deleveraging </a:t>
          </a:r>
          <a:r>
            <a:rPr lang="en-IN" sz="900" b="0" i="1">
              <a:solidFill>
                <a:schemeClr val="dk1"/>
              </a:solidFill>
              <a:effectLst/>
              <a:latin typeface="Calibri" panose="020F0502020204030204" pitchFamily="34" charset="0"/>
              <a:ea typeface="Calibri" panose="020F0502020204030204" pitchFamily="34" charset="0"/>
              <a:cs typeface="Calibri" panose="020F0502020204030204" pitchFamily="34" charset="0"/>
            </a:rPr>
            <a:t>— D/E reduced from 0.11 to 0.09 over 3 years, showing disciplined balance sheet management and equity strengthening.</a:t>
          </a: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BE0B-EEA3-4F71-9FC9-FD359219ED9C}">
  <dimension ref="B1:J21"/>
  <sheetViews>
    <sheetView showGridLines="0" workbookViewId="0">
      <selection activeCell="B21" sqref="B21"/>
    </sheetView>
  </sheetViews>
  <sheetFormatPr defaultRowHeight="13.8" x14ac:dyDescent="0.25"/>
  <cols>
    <col min="1" max="1" width="2" style="5" customWidth="1"/>
    <col min="2" max="2" width="39.77734375" style="5" bestFit="1" customWidth="1"/>
    <col min="3" max="5" width="12.6640625" style="5" bestFit="1" customWidth="1"/>
    <col min="6" max="6" width="8.88671875" style="5"/>
    <col min="7" max="7" width="15.44140625" style="5" customWidth="1"/>
    <col min="8" max="8" width="14" style="5" customWidth="1"/>
    <col min="9" max="9" width="14.21875" style="5" customWidth="1"/>
    <col min="10" max="10" width="15.6640625" style="5" customWidth="1"/>
    <col min="11" max="16384" width="8.88671875" style="5"/>
  </cols>
  <sheetData>
    <row r="1" spans="2:10" ht="21" x14ac:dyDescent="0.4">
      <c r="B1" s="6" t="s">
        <v>43</v>
      </c>
    </row>
    <row r="3" spans="2:10" ht="41.4" x14ac:dyDescent="0.25">
      <c r="B3" s="9" t="s">
        <v>16</v>
      </c>
      <c r="C3" s="9" t="s">
        <v>0</v>
      </c>
      <c r="D3" s="9" t="s">
        <v>1</v>
      </c>
      <c r="E3" s="9" t="s">
        <v>2</v>
      </c>
      <c r="G3" s="26" t="s">
        <v>63</v>
      </c>
      <c r="H3" s="26" t="s">
        <v>64</v>
      </c>
      <c r="I3" s="26" t="s">
        <v>65</v>
      </c>
      <c r="J3" s="26" t="s">
        <v>66</v>
      </c>
    </row>
    <row r="4" spans="2:10" x14ac:dyDescent="0.25">
      <c r="B4" s="15" t="s">
        <v>3</v>
      </c>
      <c r="C4" s="31">
        <v>225458</v>
      </c>
      <c r="D4" s="31">
        <v>240893</v>
      </c>
      <c r="E4" s="31">
        <v>255324</v>
      </c>
      <c r="G4" s="33">
        <f>D4-C4</f>
        <v>15435</v>
      </c>
      <c r="H4" s="32">
        <f>G4/C4</f>
        <v>6.8460644554639891E-2</v>
      </c>
      <c r="I4" s="33">
        <f>E4-D4</f>
        <v>14431</v>
      </c>
      <c r="J4" s="32">
        <f>I4/D4</f>
        <v>5.9906265437351856E-2</v>
      </c>
    </row>
    <row r="5" spans="2:10" x14ac:dyDescent="0.25">
      <c r="B5" s="15" t="s">
        <v>4</v>
      </c>
      <c r="C5" s="31">
        <v>166199</v>
      </c>
      <c r="D5" s="31">
        <v>176597</v>
      </c>
      <c r="E5" s="31">
        <v>187917</v>
      </c>
      <c r="G5" s="33">
        <f t="shared" ref="G5:G16" si="0">D5-C5</f>
        <v>10398</v>
      </c>
      <c r="H5" s="32">
        <f t="shared" ref="H5:H18" si="1">G5/C5</f>
        <v>6.2563553330645796E-2</v>
      </c>
      <c r="I5" s="33">
        <f t="shared" ref="I5:I17" si="2">E5-D5</f>
        <v>11320</v>
      </c>
      <c r="J5" s="32">
        <f t="shared" ref="J5:J10" si="3">I5/D5</f>
        <v>6.4100749163349319E-2</v>
      </c>
    </row>
    <row r="6" spans="2:10" x14ac:dyDescent="0.25">
      <c r="B6" s="15" t="s">
        <v>12</v>
      </c>
      <c r="C6" s="31">
        <v>59259</v>
      </c>
      <c r="D6" s="31">
        <v>64296</v>
      </c>
      <c r="E6" s="31">
        <v>67407</v>
      </c>
      <c r="G6" s="33">
        <f t="shared" si="0"/>
        <v>5037</v>
      </c>
      <c r="H6" s="32">
        <f t="shared" si="1"/>
        <v>8.499974687389257E-2</v>
      </c>
      <c r="I6" s="33">
        <f t="shared" si="2"/>
        <v>3111</v>
      </c>
      <c r="J6" s="32">
        <f t="shared" si="3"/>
        <v>4.8385591638671149E-2</v>
      </c>
    </row>
    <row r="7" spans="2:10" x14ac:dyDescent="0.25">
      <c r="B7" s="15" t="s">
        <v>13</v>
      </c>
      <c r="C7" s="31">
        <v>42147</v>
      </c>
      <c r="D7" s="31">
        <v>45908</v>
      </c>
      <c r="E7" s="31">
        <v>48553</v>
      </c>
      <c r="G7" s="33">
        <f t="shared" si="0"/>
        <v>3761</v>
      </c>
      <c r="H7" s="32">
        <f t="shared" si="1"/>
        <v>8.9235295513322418E-2</v>
      </c>
      <c r="I7" s="33">
        <f t="shared" si="2"/>
        <v>2645</v>
      </c>
      <c r="J7" s="32">
        <f t="shared" si="3"/>
        <v>5.7615230460921846E-2</v>
      </c>
    </row>
    <row r="8" spans="2:10" x14ac:dyDescent="0.25">
      <c r="B8" s="15" t="s">
        <v>5</v>
      </c>
      <c r="C8" s="31">
        <v>14604</v>
      </c>
      <c r="D8" s="31">
        <v>15898</v>
      </c>
      <c r="E8" s="31">
        <v>16534</v>
      </c>
      <c r="G8" s="33">
        <f t="shared" si="0"/>
        <v>1294</v>
      </c>
      <c r="H8" s="32">
        <f t="shared" si="1"/>
        <v>8.8605861407833469E-2</v>
      </c>
      <c r="I8" s="33">
        <f t="shared" si="2"/>
        <v>636</v>
      </c>
      <c r="J8" s="32">
        <f t="shared" si="3"/>
        <v>4.0005032079506855E-2</v>
      </c>
    </row>
    <row r="9" spans="2:10" x14ac:dyDescent="0.25">
      <c r="B9" s="15" t="s">
        <v>14</v>
      </c>
      <c r="C9" s="31">
        <v>779</v>
      </c>
      <c r="D9" s="31">
        <v>778</v>
      </c>
      <c r="E9" s="31">
        <v>796</v>
      </c>
      <c r="G9" s="33">
        <f t="shared" si="0"/>
        <v>-1</v>
      </c>
      <c r="H9" s="34">
        <f t="shared" si="1"/>
        <v>-1.2836970474967907E-3</v>
      </c>
      <c r="I9" s="33">
        <f t="shared" si="2"/>
        <v>18</v>
      </c>
      <c r="J9" s="32">
        <f t="shared" si="3"/>
        <v>2.313624678663239E-2</v>
      </c>
    </row>
    <row r="10" spans="2:10" x14ac:dyDescent="0.25">
      <c r="B10" s="15" t="s">
        <v>6</v>
      </c>
      <c r="C10" s="31">
        <v>5022</v>
      </c>
      <c r="D10" s="31">
        <v>4985</v>
      </c>
      <c r="E10" s="31">
        <v>5242</v>
      </c>
      <c r="G10" s="33">
        <f t="shared" si="0"/>
        <v>-37</v>
      </c>
      <c r="H10" s="34">
        <f t="shared" si="1"/>
        <v>-7.3675826363998409E-3</v>
      </c>
      <c r="I10" s="33">
        <f t="shared" si="2"/>
        <v>257</v>
      </c>
      <c r="J10" s="32">
        <f t="shared" si="3"/>
        <v>5.1554663991975926E-2</v>
      </c>
    </row>
    <row r="11" spans="2:10" x14ac:dyDescent="0.25">
      <c r="B11" s="15"/>
      <c r="C11" s="31"/>
      <c r="D11" s="31"/>
      <c r="E11" s="31"/>
      <c r="G11" s="33"/>
      <c r="H11" s="32"/>
      <c r="I11" s="33"/>
      <c r="J11" s="32"/>
    </row>
    <row r="12" spans="2:10" x14ac:dyDescent="0.25">
      <c r="B12" s="15" t="s">
        <v>7</v>
      </c>
      <c r="C12" s="31">
        <v>142859</v>
      </c>
      <c r="D12" s="31">
        <v>145472</v>
      </c>
      <c r="E12" s="31">
        <v>158649</v>
      </c>
      <c r="G12" s="33">
        <f t="shared" si="0"/>
        <v>2613</v>
      </c>
      <c r="H12" s="32">
        <f t="shared" si="1"/>
        <v>1.8290762220091138E-2</v>
      </c>
      <c r="I12" s="33">
        <f t="shared" si="2"/>
        <v>13177</v>
      </c>
      <c r="J12" s="32">
        <f>I12/D12</f>
        <v>9.058100527936648E-2</v>
      </c>
    </row>
    <row r="13" spans="2:10" x14ac:dyDescent="0.25">
      <c r="B13" s="15" t="s">
        <v>8</v>
      </c>
      <c r="C13" s="31">
        <v>90424</v>
      </c>
      <c r="D13" s="31">
        <v>90489</v>
      </c>
      <c r="E13" s="31">
        <v>94756</v>
      </c>
      <c r="G13" s="33">
        <f t="shared" si="0"/>
        <v>65</v>
      </c>
      <c r="H13" s="32">
        <f t="shared" si="1"/>
        <v>7.1883570733433599E-4</v>
      </c>
      <c r="I13" s="33">
        <f t="shared" si="2"/>
        <v>4267</v>
      </c>
      <c r="J13" s="32">
        <f t="shared" ref="J13:J18" si="4">I13/D13</f>
        <v>4.7154902805865907E-2</v>
      </c>
    </row>
    <row r="14" spans="2:10" x14ac:dyDescent="0.25">
      <c r="B14" s="15" t="s">
        <v>17</v>
      </c>
      <c r="C14" s="31">
        <v>7688</v>
      </c>
      <c r="D14" s="31">
        <v>8021</v>
      </c>
      <c r="E14" s="31">
        <v>9392</v>
      </c>
      <c r="G14" s="33">
        <f t="shared" si="0"/>
        <v>333</v>
      </c>
      <c r="H14" s="32">
        <f t="shared" si="1"/>
        <v>4.3314255983350675E-2</v>
      </c>
      <c r="I14" s="33">
        <f t="shared" si="2"/>
        <v>1371</v>
      </c>
      <c r="J14" s="32">
        <f t="shared" si="4"/>
        <v>0.17092631841416281</v>
      </c>
    </row>
    <row r="15" spans="2:10" x14ac:dyDescent="0.25">
      <c r="B15" s="15" t="s">
        <v>18</v>
      </c>
      <c r="C15" s="31">
        <v>83947</v>
      </c>
      <c r="D15" s="31">
        <v>92542</v>
      </c>
      <c r="E15" s="31">
        <v>103086</v>
      </c>
      <c r="G15" s="33">
        <f t="shared" si="0"/>
        <v>8595</v>
      </c>
      <c r="H15" s="32">
        <f t="shared" si="1"/>
        <v>0.10238602928037929</v>
      </c>
      <c r="I15" s="33">
        <f t="shared" si="2"/>
        <v>10544</v>
      </c>
      <c r="J15" s="32">
        <f t="shared" si="4"/>
        <v>0.11393745542564457</v>
      </c>
    </row>
    <row r="16" spans="2:10" x14ac:dyDescent="0.25">
      <c r="B16" s="15" t="s">
        <v>9</v>
      </c>
      <c r="C16" s="31">
        <v>44747</v>
      </c>
      <c r="D16" s="31">
        <v>46962</v>
      </c>
      <c r="E16" s="31">
        <v>54501</v>
      </c>
      <c r="G16" s="33">
        <f t="shared" si="0"/>
        <v>2215</v>
      </c>
      <c r="H16" s="32">
        <f t="shared" si="1"/>
        <v>4.9500525174872058E-2</v>
      </c>
      <c r="I16" s="33">
        <f t="shared" si="2"/>
        <v>7539</v>
      </c>
      <c r="J16" s="32">
        <f t="shared" si="4"/>
        <v>0.16053404880541713</v>
      </c>
    </row>
    <row r="17" spans="2:10" x14ac:dyDescent="0.25">
      <c r="B17" s="15" t="s">
        <v>35</v>
      </c>
      <c r="C17" s="31">
        <v>28</v>
      </c>
      <c r="D17" s="31">
        <v>28</v>
      </c>
      <c r="E17" s="31">
        <v>21</v>
      </c>
      <c r="G17" s="33">
        <f>D17-C17</f>
        <v>0</v>
      </c>
      <c r="H17" s="32">
        <f t="shared" si="1"/>
        <v>0</v>
      </c>
      <c r="I17" s="33">
        <f t="shared" si="2"/>
        <v>-7</v>
      </c>
      <c r="J17" s="34">
        <f t="shared" si="4"/>
        <v>-0.25</v>
      </c>
    </row>
    <row r="18" spans="2:10" x14ac:dyDescent="0.25">
      <c r="B18" s="15" t="s">
        <v>15</v>
      </c>
      <c r="C18" s="31">
        <v>49954</v>
      </c>
      <c r="D18" s="31">
        <v>53577</v>
      </c>
      <c r="E18" s="31">
        <v>59046</v>
      </c>
      <c r="G18" s="33">
        <f>D18-C18</f>
        <v>3623</v>
      </c>
      <c r="H18" s="32">
        <f t="shared" si="1"/>
        <v>7.2526724586619684E-2</v>
      </c>
      <c r="I18" s="33">
        <f>E18-D18</f>
        <v>5469</v>
      </c>
      <c r="J18" s="32">
        <f t="shared" si="4"/>
        <v>0.10207738395206899</v>
      </c>
    </row>
    <row r="19" spans="2:10" x14ac:dyDescent="0.25">
      <c r="B19" s="15"/>
      <c r="C19" s="15"/>
      <c r="D19" s="15"/>
      <c r="E19" s="15"/>
      <c r="G19" s="27"/>
      <c r="H19" s="27"/>
      <c r="I19" s="27"/>
      <c r="J19" s="27"/>
    </row>
    <row r="20" spans="2:10" x14ac:dyDescent="0.25">
      <c r="B20" s="15" t="s">
        <v>10</v>
      </c>
      <c r="C20" s="35">
        <v>0.46610413164646552</v>
      </c>
      <c r="D20" s="35">
        <v>0.50733238294157301</v>
      </c>
      <c r="E20" s="35">
        <v>0.51240027016758838</v>
      </c>
      <c r="G20" s="28"/>
      <c r="H20" s="28"/>
      <c r="I20" s="28"/>
      <c r="J20" s="28"/>
    </row>
    <row r="21" spans="2:10" x14ac:dyDescent="0.25">
      <c r="B21" s="15" t="s">
        <v>11</v>
      </c>
      <c r="C21" s="35">
        <v>0.59144200257344837</v>
      </c>
      <c r="D21" s="35">
        <v>0.63853485367863205</v>
      </c>
      <c r="E21" s="35">
        <v>0.65259698605532468</v>
      </c>
      <c r="G21" s="28"/>
      <c r="H21" s="28"/>
      <c r="I21" s="28"/>
      <c r="J21" s="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92E3-5A9D-425E-A6AC-6F58DB821A71}">
  <dimension ref="B1:J21"/>
  <sheetViews>
    <sheetView showGridLines="0" workbookViewId="0">
      <selection activeCell="F21" sqref="F21"/>
    </sheetView>
  </sheetViews>
  <sheetFormatPr defaultRowHeight="13.8" x14ac:dyDescent="0.25"/>
  <cols>
    <col min="1" max="1" width="2" style="2" customWidth="1"/>
    <col min="2" max="2" width="33.33203125" style="2" customWidth="1"/>
    <col min="3" max="5" width="12.6640625" style="2" bestFit="1" customWidth="1"/>
    <col min="6" max="6" width="8.88671875" style="2"/>
    <col min="7" max="7" width="14.5546875" style="2" customWidth="1"/>
    <col min="8" max="8" width="13.77734375" style="2" customWidth="1"/>
    <col min="9" max="9" width="15.33203125" style="2" customWidth="1"/>
    <col min="10" max="10" width="14.33203125" style="2" customWidth="1"/>
    <col min="11" max="16384" width="8.88671875" style="2"/>
  </cols>
  <sheetData>
    <row r="1" spans="2:10" ht="21" x14ac:dyDescent="0.4">
      <c r="B1" s="4" t="s">
        <v>19</v>
      </c>
    </row>
    <row r="2" spans="2:10" x14ac:dyDescent="0.25">
      <c r="E2" s="29"/>
    </row>
    <row r="3" spans="2:10" ht="27.6" x14ac:dyDescent="0.25">
      <c r="B3" s="9" t="s">
        <v>16</v>
      </c>
      <c r="C3" s="9" t="s">
        <v>68</v>
      </c>
      <c r="D3" s="9" t="s">
        <v>1</v>
      </c>
      <c r="E3" s="9" t="s">
        <v>2</v>
      </c>
      <c r="G3" s="26" t="s">
        <v>63</v>
      </c>
      <c r="H3" s="26" t="s">
        <v>64</v>
      </c>
      <c r="I3" s="26" t="s">
        <v>65</v>
      </c>
      <c r="J3" s="26" t="s">
        <v>66</v>
      </c>
    </row>
    <row r="4" spans="2:10" x14ac:dyDescent="0.25">
      <c r="B4" s="15" t="s">
        <v>3</v>
      </c>
      <c r="C4" s="31">
        <v>146767</v>
      </c>
      <c r="D4" s="31">
        <v>153670</v>
      </c>
      <c r="E4" s="31">
        <v>162990</v>
      </c>
      <c r="G4" s="33">
        <f>D4-C4</f>
        <v>6903</v>
      </c>
      <c r="H4" s="32">
        <f>G4/C4</f>
        <v>4.7033733741236108E-2</v>
      </c>
      <c r="I4" s="33">
        <f>E4-D4</f>
        <v>9320</v>
      </c>
      <c r="J4" s="32">
        <f>I4/D4</f>
        <v>6.064944361293681E-2</v>
      </c>
    </row>
    <row r="5" spans="2:10" x14ac:dyDescent="0.25">
      <c r="B5" s="15" t="s">
        <v>4</v>
      </c>
      <c r="C5" s="31">
        <v>111637</v>
      </c>
      <c r="D5" s="31">
        <v>117245</v>
      </c>
      <c r="E5" s="31">
        <v>123754</v>
      </c>
      <c r="G5" s="33">
        <f t="shared" ref="G5:G18" si="0">D5-C5</f>
        <v>5608</v>
      </c>
      <c r="H5" s="32">
        <f t="shared" ref="H5:H18" si="1">G5/C5</f>
        <v>5.0234241335757858E-2</v>
      </c>
      <c r="I5" s="33">
        <f t="shared" ref="I5:I18" si="2">E5-D5</f>
        <v>6509</v>
      </c>
      <c r="J5" s="32">
        <f t="shared" ref="J5:J18" si="3">I5/D5</f>
        <v>5.5516226704763527E-2</v>
      </c>
    </row>
    <row r="6" spans="2:10" x14ac:dyDescent="0.25">
      <c r="B6" s="15" t="s">
        <v>12</v>
      </c>
      <c r="C6" s="31">
        <v>35130</v>
      </c>
      <c r="D6" s="31">
        <v>36425</v>
      </c>
      <c r="E6" s="31">
        <v>39236</v>
      </c>
      <c r="G6" s="33">
        <f t="shared" si="0"/>
        <v>1295</v>
      </c>
      <c r="H6" s="32">
        <f t="shared" si="1"/>
        <v>3.6863079988613719E-2</v>
      </c>
      <c r="I6" s="33">
        <f t="shared" si="2"/>
        <v>2811</v>
      </c>
      <c r="J6" s="32">
        <f t="shared" si="3"/>
        <v>7.7172271791352096E-2</v>
      </c>
    </row>
    <row r="7" spans="2:10" x14ac:dyDescent="0.25">
      <c r="B7" s="15" t="s">
        <v>13</v>
      </c>
      <c r="C7" s="31">
        <v>24095</v>
      </c>
      <c r="D7" s="31">
        <v>26233</v>
      </c>
      <c r="E7" s="31">
        <v>26713</v>
      </c>
      <c r="G7" s="33">
        <f t="shared" si="0"/>
        <v>2138</v>
      </c>
      <c r="H7" s="32">
        <f t="shared" si="1"/>
        <v>8.8732102095870513E-2</v>
      </c>
      <c r="I7" s="33">
        <f t="shared" si="2"/>
        <v>480</v>
      </c>
      <c r="J7" s="32">
        <f t="shared" si="3"/>
        <v>1.8297564136774292E-2</v>
      </c>
    </row>
    <row r="8" spans="2:10" x14ac:dyDescent="0.25">
      <c r="B8" s="15" t="s">
        <v>5</v>
      </c>
      <c r="C8" s="31">
        <v>9214</v>
      </c>
      <c r="D8" s="31">
        <v>9740</v>
      </c>
      <c r="E8" s="31">
        <v>10858</v>
      </c>
      <c r="G8" s="33">
        <f t="shared" si="0"/>
        <v>526</v>
      </c>
      <c r="H8" s="32">
        <f t="shared" si="1"/>
        <v>5.708704145864988E-2</v>
      </c>
      <c r="I8" s="33">
        <f t="shared" si="2"/>
        <v>1118</v>
      </c>
      <c r="J8" s="32">
        <f t="shared" si="3"/>
        <v>0.11478439425051334</v>
      </c>
    </row>
    <row r="9" spans="2:10" x14ac:dyDescent="0.25">
      <c r="B9" s="15" t="s">
        <v>14</v>
      </c>
      <c r="C9" s="31">
        <v>284</v>
      </c>
      <c r="D9" s="31">
        <v>470</v>
      </c>
      <c r="E9" s="31">
        <v>416</v>
      </c>
      <c r="G9" s="33">
        <f t="shared" si="0"/>
        <v>186</v>
      </c>
      <c r="H9" s="32">
        <f t="shared" si="1"/>
        <v>0.65492957746478875</v>
      </c>
      <c r="I9" s="33">
        <f t="shared" si="2"/>
        <v>-54</v>
      </c>
      <c r="J9" s="34">
        <f t="shared" si="3"/>
        <v>-0.1148936170212766</v>
      </c>
    </row>
    <row r="10" spans="2:10" x14ac:dyDescent="0.25">
      <c r="B10" s="15" t="s">
        <v>6</v>
      </c>
      <c r="C10" s="31">
        <v>4225</v>
      </c>
      <c r="D10" s="31">
        <v>4678</v>
      </c>
      <c r="E10" s="31">
        <v>4812</v>
      </c>
      <c r="G10" s="33">
        <f t="shared" si="0"/>
        <v>453</v>
      </c>
      <c r="H10" s="32">
        <f t="shared" si="1"/>
        <v>0.1072189349112426</v>
      </c>
      <c r="I10" s="33">
        <f t="shared" si="2"/>
        <v>134</v>
      </c>
      <c r="J10" s="32">
        <f t="shared" si="3"/>
        <v>2.8644719965797351E-2</v>
      </c>
    </row>
    <row r="11" spans="2:10" x14ac:dyDescent="0.25">
      <c r="B11" s="15"/>
      <c r="C11" s="31"/>
      <c r="D11" s="31"/>
      <c r="E11" s="31"/>
      <c r="G11" s="33"/>
      <c r="H11" s="32"/>
      <c r="I11" s="33"/>
      <c r="J11" s="32"/>
    </row>
    <row r="12" spans="2:10" x14ac:dyDescent="0.25">
      <c r="B12" s="15" t="s">
        <v>7</v>
      </c>
      <c r="C12" s="31">
        <v>124596</v>
      </c>
      <c r="D12" s="31">
        <v>137360</v>
      </c>
      <c r="E12" s="31">
        <v>147795</v>
      </c>
      <c r="G12" s="33">
        <f t="shared" si="0"/>
        <v>12764</v>
      </c>
      <c r="H12" s="32">
        <f t="shared" si="1"/>
        <v>0.10244309608655174</v>
      </c>
      <c r="I12" s="33">
        <f t="shared" si="2"/>
        <v>10435</v>
      </c>
      <c r="J12" s="32">
        <f t="shared" si="3"/>
        <v>7.5968258590564941E-2</v>
      </c>
    </row>
    <row r="13" spans="2:10" x14ac:dyDescent="0.25">
      <c r="B13" s="15" t="s">
        <v>8</v>
      </c>
      <c r="C13" s="31">
        <v>75407</v>
      </c>
      <c r="D13" s="31">
        <v>88116</v>
      </c>
      <c r="E13" s="31">
        <v>95818</v>
      </c>
      <c r="G13" s="33">
        <f t="shared" si="0"/>
        <v>12709</v>
      </c>
      <c r="H13" s="32">
        <f t="shared" si="1"/>
        <v>0.16853872982614346</v>
      </c>
      <c r="I13" s="33">
        <f t="shared" si="2"/>
        <v>7702</v>
      </c>
      <c r="J13" s="32">
        <f t="shared" si="3"/>
        <v>8.740750828453403E-2</v>
      </c>
    </row>
    <row r="14" spans="2:10" x14ac:dyDescent="0.25">
      <c r="B14" s="15" t="s">
        <v>17</v>
      </c>
      <c r="C14" s="31">
        <v>8299</v>
      </c>
      <c r="D14" s="31">
        <v>8359</v>
      </c>
      <c r="E14" s="31">
        <v>8227</v>
      </c>
      <c r="G14" s="33">
        <f t="shared" si="0"/>
        <v>60</v>
      </c>
      <c r="H14" s="32">
        <f t="shared" si="1"/>
        <v>7.2297867212917219E-3</v>
      </c>
      <c r="I14" s="33">
        <f t="shared" si="2"/>
        <v>-132</v>
      </c>
      <c r="J14" s="34">
        <f t="shared" si="3"/>
        <v>-1.5791362603182198E-2</v>
      </c>
    </row>
    <row r="15" spans="2:10" x14ac:dyDescent="0.25">
      <c r="B15" s="15" t="s">
        <v>18</v>
      </c>
      <c r="C15" s="31">
        <v>75605</v>
      </c>
      <c r="D15" s="31">
        <v>84822</v>
      </c>
      <c r="E15" s="31">
        <v>92479</v>
      </c>
      <c r="G15" s="33">
        <f t="shared" si="0"/>
        <v>9217</v>
      </c>
      <c r="H15" s="32">
        <f t="shared" si="1"/>
        <v>0.1219099265921566</v>
      </c>
      <c r="I15" s="33">
        <f t="shared" si="2"/>
        <v>7657</v>
      </c>
      <c r="J15" s="32">
        <f t="shared" si="3"/>
        <v>9.0271391855886451E-2</v>
      </c>
    </row>
    <row r="16" spans="2:10" x14ac:dyDescent="0.25">
      <c r="B16" s="15" t="s">
        <v>9</v>
      </c>
      <c r="C16" s="31">
        <v>40890</v>
      </c>
      <c r="D16" s="31">
        <v>40885</v>
      </c>
      <c r="E16" s="31">
        <v>43750</v>
      </c>
      <c r="G16" s="33">
        <f t="shared" si="0"/>
        <v>-5</v>
      </c>
      <c r="H16" s="32">
        <f t="shared" si="1"/>
        <v>-1.2227928588897041E-4</v>
      </c>
      <c r="I16" s="33">
        <f t="shared" si="2"/>
        <v>2865</v>
      </c>
      <c r="J16" s="32">
        <f t="shared" si="3"/>
        <v>7.0074599486364186E-2</v>
      </c>
    </row>
    <row r="17" spans="2:10" x14ac:dyDescent="0.25">
      <c r="B17" s="15" t="s">
        <v>35</v>
      </c>
      <c r="C17" s="31">
        <v>0</v>
      </c>
      <c r="D17" s="31">
        <v>0</v>
      </c>
      <c r="E17" s="31">
        <v>0</v>
      </c>
      <c r="G17" s="33">
        <f t="shared" si="0"/>
        <v>0</v>
      </c>
      <c r="H17" s="36" t="s">
        <v>67</v>
      </c>
      <c r="I17" s="33">
        <f t="shared" si="2"/>
        <v>0</v>
      </c>
      <c r="J17" s="36" t="s">
        <v>67</v>
      </c>
    </row>
    <row r="18" spans="2:10" x14ac:dyDescent="0.25">
      <c r="B18" s="15" t="s">
        <v>15</v>
      </c>
      <c r="C18" s="31">
        <v>25424</v>
      </c>
      <c r="D18" s="31">
        <v>30193</v>
      </c>
      <c r="E18" s="31">
        <v>31158</v>
      </c>
      <c r="G18" s="33">
        <f t="shared" si="0"/>
        <v>4769</v>
      </c>
      <c r="H18" s="32">
        <f t="shared" si="1"/>
        <v>0.18757866582756449</v>
      </c>
      <c r="I18" s="33">
        <f t="shared" si="2"/>
        <v>965</v>
      </c>
      <c r="J18" s="32">
        <f t="shared" si="3"/>
        <v>3.1961050574636503E-2</v>
      </c>
    </row>
    <row r="19" spans="2:10" x14ac:dyDescent="0.25">
      <c r="B19" s="15"/>
      <c r="C19" s="15"/>
      <c r="D19" s="15"/>
      <c r="E19" s="15"/>
    </row>
    <row r="20" spans="2:10" x14ac:dyDescent="0.25">
      <c r="B20" s="15" t="s">
        <v>10</v>
      </c>
      <c r="C20" s="35">
        <v>0.31953266938082669</v>
      </c>
      <c r="D20" s="35">
        <v>0.29770983703300197</v>
      </c>
      <c r="E20" s="35">
        <v>0.27878895405873633</v>
      </c>
    </row>
    <row r="21" spans="2:10" x14ac:dyDescent="0.25">
      <c r="B21" s="15" t="s">
        <v>11</v>
      </c>
      <c r="C21" s="35">
        <v>0.40850908648878625</v>
      </c>
      <c r="D21" s="35">
        <v>0.40468195869708795</v>
      </c>
      <c r="E21" s="35">
        <v>0.37925393975663274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B5D37-2412-4859-8405-D298984CB7F6}">
  <dimension ref="B1:S31"/>
  <sheetViews>
    <sheetView showGridLines="0" workbookViewId="0">
      <selection activeCell="L23" sqref="L23"/>
    </sheetView>
  </sheetViews>
  <sheetFormatPr defaultRowHeight="13.8" x14ac:dyDescent="0.25"/>
  <cols>
    <col min="1" max="1" width="2" style="2" customWidth="1"/>
    <col min="2" max="2" width="34.44140625" style="2" customWidth="1"/>
    <col min="3" max="3" width="2" style="2" hidden="1" customWidth="1"/>
    <col min="4" max="4" width="10.6640625" style="2" customWidth="1"/>
    <col min="5" max="6" width="10.44140625" style="2" bestFit="1" customWidth="1"/>
    <col min="7" max="7" width="2" style="2" hidden="1" customWidth="1"/>
    <col min="8" max="10" width="13.6640625" style="2" bestFit="1" customWidth="1"/>
    <col min="11" max="12" width="8.88671875" style="2"/>
    <col min="13" max="13" width="16.33203125" style="2" bestFit="1" customWidth="1"/>
    <col min="14" max="14" width="8.5546875" style="2" bestFit="1" customWidth="1"/>
    <col min="15" max="15" width="11.109375" style="2" bestFit="1" customWidth="1"/>
    <col min="16" max="16" width="8.5546875" style="2" bestFit="1" customWidth="1"/>
    <col min="17" max="17" width="11.109375" style="2" bestFit="1" customWidth="1"/>
    <col min="18" max="18" width="8.5546875" style="2" bestFit="1" customWidth="1"/>
    <col min="19" max="20" width="11.109375" style="2" bestFit="1" customWidth="1"/>
    <col min="21" max="16384" width="8.88671875" style="2"/>
  </cols>
  <sheetData>
    <row r="1" spans="2:10" ht="21" x14ac:dyDescent="0.4">
      <c r="B1" s="4" t="s">
        <v>20</v>
      </c>
    </row>
    <row r="3" spans="2:10" x14ac:dyDescent="0.25">
      <c r="B3" s="10" t="s">
        <v>34</v>
      </c>
      <c r="C3" s="10"/>
      <c r="D3" s="67" t="s">
        <v>37</v>
      </c>
      <c r="E3" s="68"/>
      <c r="F3" s="68"/>
      <c r="G3" s="10"/>
      <c r="H3" s="67" t="s">
        <v>36</v>
      </c>
      <c r="I3" s="67"/>
      <c r="J3" s="67"/>
    </row>
    <row r="4" spans="2:10" x14ac:dyDescent="0.25">
      <c r="B4" s="10"/>
      <c r="C4" s="10"/>
      <c r="D4" s="16" t="s">
        <v>0</v>
      </c>
      <c r="E4" s="16" t="s">
        <v>45</v>
      </c>
      <c r="F4" s="16" t="s">
        <v>46</v>
      </c>
      <c r="G4" s="10"/>
      <c r="H4" s="16" t="s">
        <v>47</v>
      </c>
      <c r="I4" s="16" t="s">
        <v>1</v>
      </c>
      <c r="J4" s="16" t="s">
        <v>46</v>
      </c>
    </row>
    <row r="5" spans="2:10" x14ac:dyDescent="0.25">
      <c r="B5" s="14" t="s">
        <v>21</v>
      </c>
      <c r="C5" s="15"/>
      <c r="D5" s="17"/>
      <c r="E5" s="17"/>
      <c r="F5" s="17"/>
      <c r="G5" s="17"/>
      <c r="H5" s="17"/>
      <c r="I5" s="17"/>
      <c r="J5" s="17"/>
    </row>
    <row r="6" spans="2:10" x14ac:dyDescent="0.25">
      <c r="B6" s="15" t="s">
        <v>80</v>
      </c>
      <c r="C6" s="15"/>
      <c r="D6" s="18">
        <f>'TCS Data'!C6/'TCS Data'!C4</f>
        <v>0.26283831134845514</v>
      </c>
      <c r="E6" s="18">
        <f>'TCS Data'!D6/'TCS Data'!D4</f>
        <v>0.26690688396923118</v>
      </c>
      <c r="F6" s="18">
        <f>'TCS Data'!E6/'TCS Data'!E4</f>
        <v>0.26400573389105608</v>
      </c>
      <c r="G6" s="84"/>
      <c r="H6" s="18">
        <f>'Infosys Data'!C6/'Infosys Data'!C4</f>
        <v>0.23935898396778568</v>
      </c>
      <c r="I6" s="18">
        <f>'Infosys Data'!D6/'Infosys Data'!D4</f>
        <v>0.23703390381987374</v>
      </c>
      <c r="J6" s="18">
        <f>'Infosys Data'!E6/'Infosys Data'!E4</f>
        <v>0.24072642493404503</v>
      </c>
    </row>
    <row r="7" spans="2:10" x14ac:dyDescent="0.25">
      <c r="B7" s="15" t="s">
        <v>22</v>
      </c>
      <c r="C7" s="15"/>
      <c r="D7" s="18">
        <f>'TCS Data'!C7/'TCS Data'!C4</f>
        <v>0.18693947431450647</v>
      </c>
      <c r="E7" s="18">
        <f>'TCS Data'!D7/'TCS Data'!D4</f>
        <v>0.19057423835478823</v>
      </c>
      <c r="F7" s="18">
        <f>'TCS Data'!E7/'TCS Data'!E4</f>
        <v>0.1901623035828986</v>
      </c>
      <c r="G7" s="19"/>
      <c r="H7" s="18">
        <f>'Infosys Data'!C7/'Infosys Data'!C4</f>
        <v>0.16417178248516356</v>
      </c>
      <c r="I7" s="18">
        <f>'Infosys Data'!D7/'Infosys Data'!D4</f>
        <v>0.17070996290752913</v>
      </c>
      <c r="J7" s="18">
        <f>'Infosys Data'!E7/'Infosys Data'!E4</f>
        <v>0.16389349039818393</v>
      </c>
    </row>
    <row r="8" spans="2:10" x14ac:dyDescent="0.25">
      <c r="B8" s="15" t="s">
        <v>10</v>
      </c>
      <c r="C8" s="15"/>
      <c r="D8" s="18">
        <f>'TCS Data'!C7/'TCS Data'!C13</f>
        <v>0.46610413164646552</v>
      </c>
      <c r="E8" s="18">
        <f>'TCS Data'!D7/'TCS Data'!D13</f>
        <v>0.50733238294157301</v>
      </c>
      <c r="F8" s="18">
        <f>'TCS Data'!E7/'TCS Data'!E13</f>
        <v>0.51240027016758838</v>
      </c>
      <c r="G8" s="19"/>
      <c r="H8" s="18">
        <f>'Infosys Data'!C7/'Infosys Data'!C13</f>
        <v>0.31953266938082669</v>
      </c>
      <c r="I8" s="18">
        <f>'Infosys Data'!D7/'Infosys Data'!D13</f>
        <v>0.29770983703300197</v>
      </c>
      <c r="J8" s="18">
        <f>'Infosys Data'!E7/'Infosys Data'!E13</f>
        <v>0.27878895405873633</v>
      </c>
    </row>
    <row r="9" spans="2:10" x14ac:dyDescent="0.25">
      <c r="B9" s="15" t="s">
        <v>23</v>
      </c>
      <c r="C9" s="15"/>
      <c r="D9" s="18">
        <f>'TCS Data'!C7/'TCS Data'!C12</f>
        <v>0.29502516467285927</v>
      </c>
      <c r="E9" s="18">
        <f>'TCS Data'!D7/'TCS Data'!D12</f>
        <v>0.31557963044434667</v>
      </c>
      <c r="F9" s="18">
        <f>'TCS Data'!E7/'TCS Data'!E12</f>
        <v>0.30604037844549919</v>
      </c>
      <c r="G9" s="19"/>
      <c r="H9" s="18">
        <f>'Infosys Data'!C7/'Infosys Data'!C12</f>
        <v>0.19338502038588717</v>
      </c>
      <c r="I9" s="18">
        <f>'Infosys Data'!D7/'Infosys Data'!D12</f>
        <v>0.19097990681421084</v>
      </c>
      <c r="J9" s="18">
        <f>'Infosys Data'!E7/'Infosys Data'!E12</f>
        <v>0.18074359755066138</v>
      </c>
    </row>
    <row r="10" spans="2:10" x14ac:dyDescent="0.25">
      <c r="B10" s="15" t="s">
        <v>11</v>
      </c>
      <c r="C10" s="15"/>
      <c r="D10" s="18">
        <f>'TCS Data'!C21</f>
        <v>0.59144200257344837</v>
      </c>
      <c r="E10" s="18">
        <f>'TCS Data'!D21</f>
        <v>0.63853485367863205</v>
      </c>
      <c r="F10" s="18">
        <f>'TCS Data'!E21</f>
        <v>0.65259698605532468</v>
      </c>
      <c r="G10" s="19"/>
      <c r="H10" s="18">
        <f>'Infosys Data'!C21</f>
        <v>0.40850908648878625</v>
      </c>
      <c r="I10" s="18">
        <f>'Infosys Data'!D21</f>
        <v>0.40468195869708795</v>
      </c>
      <c r="J10" s="18">
        <f>'Infosys Data'!E21</f>
        <v>0.37925393975663274</v>
      </c>
    </row>
    <row r="11" spans="2:10" x14ac:dyDescent="0.25">
      <c r="B11" s="15" t="s">
        <v>24</v>
      </c>
      <c r="C11" s="15"/>
      <c r="D11" s="18">
        <f>('TCS Data'!C6+'TCS Data'!C10)/'TCS Data'!C4</f>
        <v>0.28511297004320096</v>
      </c>
      <c r="E11" s="18">
        <f>('TCS Data'!D6+'TCS Data'!D10)/'TCS Data'!D4</f>
        <v>0.28760071899141942</v>
      </c>
      <c r="F11" s="18">
        <f>('TCS Data'!E6+'TCS Data'!E10)/'TCS Data'!E4</f>
        <v>0.28453651047296769</v>
      </c>
      <c r="G11" s="19"/>
      <c r="H11" s="18">
        <f>('Infosys Data'!C6+'Infosys Data'!C10)/'Infosys Data'!C4</f>
        <v>0.26814610913897541</v>
      </c>
      <c r="I11" s="18">
        <f>('Infosys Data'!D6+'Infosys Data'!D10)/'Infosys Data'!D4</f>
        <v>0.26747575974490789</v>
      </c>
      <c r="J11" s="18">
        <f>('Infosys Data'!E6+'Infosys Data'!E10)/'Infosys Data'!E4</f>
        <v>0.270249708571078</v>
      </c>
    </row>
    <row r="12" spans="2:10" x14ac:dyDescent="0.25">
      <c r="B12" s="15"/>
      <c r="C12" s="15"/>
      <c r="D12" s="17"/>
      <c r="E12" s="17"/>
      <c r="F12" s="17"/>
      <c r="G12" s="17"/>
      <c r="H12" s="17"/>
      <c r="I12" s="17"/>
      <c r="J12" s="17"/>
    </row>
    <row r="13" spans="2:10" x14ac:dyDescent="0.25">
      <c r="B13" s="14" t="s">
        <v>25</v>
      </c>
      <c r="C13" s="15"/>
      <c r="D13" s="17"/>
      <c r="E13" s="17"/>
      <c r="F13" s="17"/>
      <c r="G13" s="17"/>
      <c r="H13" s="17"/>
      <c r="I13" s="17"/>
      <c r="J13" s="17"/>
    </row>
    <row r="14" spans="2:10" x14ac:dyDescent="0.25">
      <c r="B14" s="15" t="s">
        <v>26</v>
      </c>
      <c r="C14" s="15"/>
      <c r="D14" s="20">
        <f>('TCS Data'!C15)/'TCS Data'!C16</f>
        <v>1.876036382327307</v>
      </c>
      <c r="E14" s="20">
        <f>'TCS Data'!D15/'TCS Data'!D16</f>
        <v>1.9705719517908096</v>
      </c>
      <c r="F14" s="20">
        <f>'TCS Data'!E15/'TCS Data'!E16</f>
        <v>1.8914515329993946</v>
      </c>
      <c r="G14" s="20"/>
      <c r="H14" s="20">
        <f>'Infosys Data'!C15/'Infosys Data'!C16</f>
        <v>1.8489850819271216</v>
      </c>
      <c r="I14" s="20">
        <f>'Infosys Data'!D15/'Infosys Data'!D16</f>
        <v>2.0746484040601687</v>
      </c>
      <c r="J14" s="20">
        <f>'Infosys Data'!E15/'Infosys Data'!E16</f>
        <v>2.1138057142857143</v>
      </c>
    </row>
    <row r="15" spans="2:10" x14ac:dyDescent="0.25">
      <c r="B15" s="15" t="s">
        <v>27</v>
      </c>
      <c r="C15" s="15"/>
      <c r="D15" s="20">
        <f>('TCS Data'!C15-'TCS Data'!C17)/'TCS Data'!C16</f>
        <v>1.8754106420542158</v>
      </c>
      <c r="E15" s="20">
        <f>('TCS Data'!D15-'TCS Data'!D17)/'TCS Data'!D16</f>
        <v>1.9699757250542993</v>
      </c>
      <c r="F15" s="20">
        <f>('TCS Data'!E15-'TCS Data'!E17)/'TCS Data'!E16</f>
        <v>1.8910662189684593</v>
      </c>
      <c r="G15" s="20"/>
      <c r="H15" s="20">
        <f>('Infosys Data'!C15-'Infosys Data'!C17)/'Infosys Data'!C16</f>
        <v>1.8489850819271216</v>
      </c>
      <c r="I15" s="20">
        <f>('Infosys Data'!D15-'Infosys Data'!D17)/'Infosys Data'!D16</f>
        <v>2.0746484040601687</v>
      </c>
      <c r="J15" s="20">
        <f>('Infosys Data'!E15-'Infosys Data'!E17)/'Infosys Data'!E16</f>
        <v>2.1138057142857143</v>
      </c>
    </row>
    <row r="16" spans="2:10" x14ac:dyDescent="0.25">
      <c r="B16" s="15"/>
      <c r="C16" s="15"/>
      <c r="D16" s="17"/>
      <c r="E16" s="17"/>
      <c r="F16" s="17"/>
      <c r="G16" s="17"/>
      <c r="H16" s="17"/>
      <c r="I16" s="17"/>
      <c r="J16" s="17"/>
    </row>
    <row r="17" spans="2:19" x14ac:dyDescent="0.25">
      <c r="B17" s="14" t="s">
        <v>28</v>
      </c>
      <c r="C17" s="15"/>
      <c r="D17" s="17"/>
      <c r="E17" s="17"/>
      <c r="F17" s="17"/>
      <c r="G17" s="17"/>
      <c r="H17" s="17"/>
      <c r="I17" s="17"/>
      <c r="J17" s="17"/>
    </row>
    <row r="18" spans="2:19" x14ac:dyDescent="0.25">
      <c r="B18" s="15" t="s">
        <v>29</v>
      </c>
      <c r="C18" s="15"/>
      <c r="D18" s="20">
        <f>'TCS Data'!C4/'TCS Data'!C12</f>
        <v>1.5781854835887132</v>
      </c>
      <c r="E18" s="20">
        <f>'TCS Data'!D4/'TCS Data'!D12</f>
        <v>1.6559406621205455</v>
      </c>
      <c r="F18" s="20">
        <f>'TCS Data'!E4/'TCS Data'!E12</f>
        <v>1.6093640678478907</v>
      </c>
      <c r="G18" s="20"/>
      <c r="H18" s="20">
        <f>'Infosys Data'!C4/'Infosys Data'!C12</f>
        <v>1.1779431121384314</v>
      </c>
      <c r="I18" s="20">
        <f>'Infosys Data'!D4/'Infosys Data'!D12</f>
        <v>1.118739079790332</v>
      </c>
      <c r="J18" s="20">
        <f>'Infosys Data'!E4/'Infosys Data'!E12</f>
        <v>1.1028113264995434</v>
      </c>
    </row>
    <row r="19" spans="2:19" x14ac:dyDescent="0.25">
      <c r="B19" s="15" t="s">
        <v>30</v>
      </c>
      <c r="C19" s="15"/>
      <c r="D19" s="21">
        <f>'TCS Data'!C18/'TCS Data'!C4*360</f>
        <v>79.764035873643877</v>
      </c>
      <c r="E19" s="21">
        <f>'TCS Data'!D18/'TCS Data'!D4*360</f>
        <v>80.067581872449594</v>
      </c>
      <c r="F19" s="21">
        <f>'TCS Data'!E18/'TCS Data'!E4*360</f>
        <v>83.253278187714443</v>
      </c>
      <c r="G19" s="21"/>
      <c r="H19" s="21">
        <f>'Infosys Data'!C18/'Infosys Data'!C4*360</f>
        <v>62.361702562565149</v>
      </c>
      <c r="I19" s="21">
        <f>'Infosys Data'!D18/'Infosys Data'!D4*360</f>
        <v>70.732608837118505</v>
      </c>
      <c r="J19" s="21">
        <f>'Infosys Data'!E18/'Infosys Data'!E4*360</f>
        <v>68.81943677526229</v>
      </c>
    </row>
    <row r="20" spans="2:19" x14ac:dyDescent="0.25">
      <c r="B20" s="15"/>
      <c r="C20" s="15"/>
      <c r="D20" s="17"/>
      <c r="E20" s="17"/>
      <c r="F20" s="17"/>
      <c r="G20" s="17"/>
      <c r="H20" s="17"/>
      <c r="I20" s="17"/>
      <c r="J20" s="17"/>
    </row>
    <row r="21" spans="2:19" x14ac:dyDescent="0.25">
      <c r="B21" s="14" t="s">
        <v>31</v>
      </c>
      <c r="C21" s="15"/>
      <c r="D21" s="17"/>
      <c r="E21" s="17"/>
      <c r="F21" s="17"/>
      <c r="G21" s="17"/>
      <c r="H21" s="17"/>
      <c r="I21" s="17"/>
      <c r="J21" s="17"/>
    </row>
    <row r="22" spans="2:19" x14ac:dyDescent="0.25">
      <c r="B22" s="15" t="s">
        <v>32</v>
      </c>
      <c r="C22" s="15"/>
      <c r="D22" s="20">
        <f>'TCS Data'!C14/'TCS Data'!C13</f>
        <v>8.5021675661328858E-2</v>
      </c>
      <c r="E22" s="20">
        <f>'TCS Data'!D14/'TCS Data'!D13</f>
        <v>8.8640608250726602E-2</v>
      </c>
      <c r="F22" s="20">
        <f>'TCS Data'!E14/'TCS Data'!E13</f>
        <v>9.9117733969352861E-2</v>
      </c>
      <c r="G22" s="20"/>
      <c r="H22" s="20">
        <f>'Infosys Data'!C14/'Infosys Data'!C13</f>
        <v>0.11005609558794277</v>
      </c>
      <c r="I22" s="20">
        <f>'Infosys Data'!D14/'Infosys Data'!D13</f>
        <v>9.4863588905533619E-2</v>
      </c>
      <c r="J22" s="20">
        <f>'Infosys Data'!E14/'Infosys Data'!E13</f>
        <v>8.5860694232816379E-2</v>
      </c>
    </row>
    <row r="23" spans="2:19" x14ac:dyDescent="0.25">
      <c r="B23" s="15" t="s">
        <v>33</v>
      </c>
      <c r="C23" s="15"/>
      <c r="D23" s="20">
        <f>'TCS Data'!C6/'TCS Data'!C9</f>
        <v>76.070603337612326</v>
      </c>
      <c r="E23" s="20">
        <f>'TCS Data'!D6/'TCS Data'!D9</f>
        <v>82.642673521850895</v>
      </c>
      <c r="F23" s="20">
        <f>'TCS Data'!E6/'TCS Data'!E9</f>
        <v>84.6821608040201</v>
      </c>
      <c r="G23" s="20"/>
      <c r="H23" s="20">
        <f>'Infosys Data'!C6/'Infosys Data'!C9</f>
        <v>123.69718309859155</v>
      </c>
      <c r="I23" s="20">
        <f>'Infosys Data'!D6/'Infosys Data'!D9</f>
        <v>77.5</v>
      </c>
      <c r="J23" s="20">
        <f>'Infosys Data'!E6/'Infosys Data'!E9</f>
        <v>94.317307692307693</v>
      </c>
    </row>
    <row r="29" spans="2:19" x14ac:dyDescent="0.25">
      <c r="M29" s="7"/>
      <c r="N29" s="66"/>
      <c r="O29" s="66"/>
      <c r="P29" s="66"/>
      <c r="Q29" s="66"/>
      <c r="R29" s="66"/>
      <c r="S29" s="66"/>
    </row>
    <row r="30" spans="2:19" x14ac:dyDescent="0.25">
      <c r="M30" s="7"/>
      <c r="N30" s="7"/>
      <c r="O30" s="7"/>
      <c r="P30" s="7"/>
      <c r="Q30" s="7"/>
      <c r="R30" s="7"/>
      <c r="S30" s="7"/>
    </row>
    <row r="31" spans="2:19" x14ac:dyDescent="0.25">
      <c r="N31" s="8"/>
      <c r="O31" s="8"/>
      <c r="P31" s="8"/>
      <c r="Q31" s="8"/>
      <c r="R31" s="8"/>
      <c r="S31" s="8"/>
    </row>
  </sheetData>
  <mergeCells count="5">
    <mergeCell ref="N29:O29"/>
    <mergeCell ref="P29:Q29"/>
    <mergeCell ref="R29:S29"/>
    <mergeCell ref="D3:F3"/>
    <mergeCell ref="H3:J3"/>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BCAA-96D1-45E9-AB98-0D0797558251}">
  <dimension ref="B1:I23"/>
  <sheetViews>
    <sheetView showGridLines="0" zoomScaleNormal="100" workbookViewId="0">
      <selection activeCell="E27" sqref="E27"/>
    </sheetView>
  </sheetViews>
  <sheetFormatPr defaultRowHeight="14.4" x14ac:dyDescent="0.3"/>
  <cols>
    <col min="1" max="1" width="2" style="1" customWidth="1"/>
    <col min="2" max="16384" width="8.88671875" style="1"/>
  </cols>
  <sheetData>
    <row r="1" spans="2:9" ht="21" x14ac:dyDescent="0.4">
      <c r="B1" s="4" t="s">
        <v>42</v>
      </c>
    </row>
    <row r="3" spans="2:9" x14ac:dyDescent="0.3">
      <c r="C3" s="69" t="s">
        <v>39</v>
      </c>
      <c r="D3" s="70"/>
      <c r="E3" s="71"/>
      <c r="F3" s="11"/>
      <c r="G3" s="69" t="s">
        <v>10</v>
      </c>
      <c r="H3" s="72"/>
      <c r="I3" s="71"/>
    </row>
    <row r="4" spans="2:9" x14ac:dyDescent="0.3">
      <c r="C4" s="37" t="s">
        <v>38</v>
      </c>
      <c r="D4" s="38" t="s">
        <v>37</v>
      </c>
      <c r="E4" s="39" t="s">
        <v>36</v>
      </c>
      <c r="F4" s="11"/>
      <c r="G4" s="37" t="s">
        <v>38</v>
      </c>
      <c r="H4" s="38" t="s">
        <v>37</v>
      </c>
      <c r="I4" s="39" t="s">
        <v>36</v>
      </c>
    </row>
    <row r="5" spans="2:9" x14ac:dyDescent="0.3">
      <c r="C5" s="40" t="s">
        <v>0</v>
      </c>
      <c r="D5" s="41">
        <v>1.876036382327307</v>
      </c>
      <c r="E5" s="42">
        <v>1.8489850819271216</v>
      </c>
      <c r="F5" s="11"/>
      <c r="G5" s="40" t="s">
        <v>0</v>
      </c>
      <c r="H5" s="48">
        <v>0.46610413164646552</v>
      </c>
      <c r="I5" s="49">
        <v>0.31953266938082669</v>
      </c>
    </row>
    <row r="6" spans="2:9" x14ac:dyDescent="0.3">
      <c r="C6" s="43" t="s">
        <v>1</v>
      </c>
      <c r="D6" s="41">
        <v>1.9705719517908096</v>
      </c>
      <c r="E6" s="44">
        <v>2.0746484040601687</v>
      </c>
      <c r="F6" s="11"/>
      <c r="G6" s="43" t="s">
        <v>1</v>
      </c>
      <c r="H6" s="48">
        <v>0.50733238294157301</v>
      </c>
      <c r="I6" s="50">
        <v>0.29770983703300197</v>
      </c>
    </row>
    <row r="7" spans="2:9" x14ac:dyDescent="0.3">
      <c r="C7" s="45" t="s">
        <v>2</v>
      </c>
      <c r="D7" s="46">
        <v>1.8914515329993946</v>
      </c>
      <c r="E7" s="47">
        <v>2.1138057142857143</v>
      </c>
      <c r="F7" s="11"/>
      <c r="G7" s="45" t="s">
        <v>2</v>
      </c>
      <c r="H7" s="51">
        <v>0.51240027016758838</v>
      </c>
      <c r="I7" s="52">
        <v>0.27878895405873633</v>
      </c>
    </row>
    <row r="8" spans="2:9" x14ac:dyDescent="0.3">
      <c r="C8" s="11"/>
      <c r="D8" s="11"/>
      <c r="E8" s="11"/>
      <c r="F8" s="11"/>
      <c r="G8" s="11"/>
      <c r="H8" s="11"/>
      <c r="I8" s="11"/>
    </row>
    <row r="9" spans="2:9" x14ac:dyDescent="0.3">
      <c r="C9" s="11"/>
      <c r="D9" s="11"/>
      <c r="E9" s="11"/>
      <c r="F9" s="11"/>
      <c r="G9" s="11"/>
      <c r="H9" s="11"/>
      <c r="I9" s="11"/>
    </row>
    <row r="10" spans="2:9" x14ac:dyDescent="0.3">
      <c r="C10" s="11"/>
      <c r="D10" s="11"/>
      <c r="E10" s="11"/>
      <c r="F10" s="11"/>
      <c r="G10" s="11"/>
      <c r="H10" s="11"/>
      <c r="I10" s="11"/>
    </row>
    <row r="11" spans="2:9" x14ac:dyDescent="0.3">
      <c r="C11" s="69" t="s">
        <v>40</v>
      </c>
      <c r="D11" s="70"/>
      <c r="E11" s="71"/>
      <c r="F11" s="11"/>
      <c r="G11" s="69" t="s">
        <v>24</v>
      </c>
      <c r="H11" s="70"/>
      <c r="I11" s="71"/>
    </row>
    <row r="12" spans="2:9" x14ac:dyDescent="0.3">
      <c r="C12" s="37" t="s">
        <v>38</v>
      </c>
      <c r="D12" s="38" t="s">
        <v>37</v>
      </c>
      <c r="E12" s="39" t="s">
        <v>36</v>
      </c>
      <c r="F12" s="11"/>
      <c r="G12" s="37" t="s">
        <v>38</v>
      </c>
      <c r="H12" s="38" t="s">
        <v>37</v>
      </c>
      <c r="I12" s="39" t="s">
        <v>36</v>
      </c>
    </row>
    <row r="13" spans="2:9" x14ac:dyDescent="0.3">
      <c r="C13" s="40" t="s">
        <v>0</v>
      </c>
      <c r="D13" s="41">
        <v>8.5021675661328858E-2</v>
      </c>
      <c r="E13" s="42">
        <v>0.11005609558794277</v>
      </c>
      <c r="F13" s="11"/>
      <c r="G13" s="40" t="s">
        <v>0</v>
      </c>
      <c r="H13" s="48">
        <v>0.28511297004320096</v>
      </c>
      <c r="I13" s="49">
        <v>0.26814610913897541</v>
      </c>
    </row>
    <row r="14" spans="2:9" x14ac:dyDescent="0.3">
      <c r="C14" s="43" t="s">
        <v>1</v>
      </c>
      <c r="D14" s="41">
        <v>8.8640608250726602E-2</v>
      </c>
      <c r="E14" s="44">
        <v>9.4863588905533619E-2</v>
      </c>
      <c r="F14" s="11"/>
      <c r="G14" s="43" t="s">
        <v>1</v>
      </c>
      <c r="H14" s="48">
        <v>0.28760071899141942</v>
      </c>
      <c r="I14" s="50">
        <v>0.26747575974490789</v>
      </c>
    </row>
    <row r="15" spans="2:9" x14ac:dyDescent="0.3">
      <c r="C15" s="45" t="s">
        <v>2</v>
      </c>
      <c r="D15" s="46">
        <v>9.9117733969352861E-2</v>
      </c>
      <c r="E15" s="47">
        <v>8.5860694232816379E-2</v>
      </c>
      <c r="F15" s="11"/>
      <c r="G15" s="45" t="s">
        <v>2</v>
      </c>
      <c r="H15" s="51">
        <v>0.28453651047296769</v>
      </c>
      <c r="I15" s="52">
        <v>0.270249708571078</v>
      </c>
    </row>
    <row r="16" spans="2:9" x14ac:dyDescent="0.3">
      <c r="C16" s="11"/>
      <c r="D16" s="11"/>
      <c r="E16" s="11"/>
      <c r="F16" s="11"/>
      <c r="G16" s="13"/>
      <c r="H16" s="12"/>
      <c r="I16" s="11"/>
    </row>
    <row r="17" spans="3:9" x14ac:dyDescent="0.3">
      <c r="C17" s="11"/>
      <c r="D17" s="11"/>
      <c r="E17" s="11"/>
      <c r="F17" s="11"/>
      <c r="G17" s="11"/>
      <c r="H17" s="11"/>
      <c r="I17" s="11"/>
    </row>
    <row r="18" spans="3:9" x14ac:dyDescent="0.3">
      <c r="C18" s="69" t="s">
        <v>22</v>
      </c>
      <c r="D18" s="70"/>
      <c r="E18" s="71"/>
      <c r="F18" s="11"/>
      <c r="G18" s="69" t="s">
        <v>33</v>
      </c>
      <c r="H18" s="70"/>
      <c r="I18" s="71"/>
    </row>
    <row r="19" spans="3:9" x14ac:dyDescent="0.3">
      <c r="C19" s="37" t="s">
        <v>38</v>
      </c>
      <c r="D19" s="38" t="s">
        <v>37</v>
      </c>
      <c r="E19" s="39" t="s">
        <v>36</v>
      </c>
      <c r="F19" s="11"/>
      <c r="G19" s="37" t="s">
        <v>38</v>
      </c>
      <c r="H19" s="38" t="s">
        <v>37</v>
      </c>
      <c r="I19" s="39" t="s">
        <v>36</v>
      </c>
    </row>
    <row r="20" spans="3:9" x14ac:dyDescent="0.3">
      <c r="C20" s="40" t="s">
        <v>0</v>
      </c>
      <c r="D20" s="48">
        <v>0.18693947431450647</v>
      </c>
      <c r="E20" s="49">
        <v>0.16417178248516356</v>
      </c>
      <c r="F20" s="11"/>
      <c r="G20" s="40" t="s">
        <v>0</v>
      </c>
      <c r="H20" s="53">
        <v>76.070603337612326</v>
      </c>
      <c r="I20" s="54">
        <v>123.69718309859155</v>
      </c>
    </row>
    <row r="21" spans="3:9" x14ac:dyDescent="0.3">
      <c r="C21" s="43" t="s">
        <v>1</v>
      </c>
      <c r="D21" s="48">
        <v>0.19057423835478823</v>
      </c>
      <c r="E21" s="50">
        <v>0.17070996290752913</v>
      </c>
      <c r="F21" s="11"/>
      <c r="G21" s="43" t="s">
        <v>1</v>
      </c>
      <c r="H21" s="53">
        <v>82.642673521850895</v>
      </c>
      <c r="I21" s="55">
        <v>77.5</v>
      </c>
    </row>
    <row r="22" spans="3:9" x14ac:dyDescent="0.3">
      <c r="C22" s="45" t="s">
        <v>2</v>
      </c>
      <c r="D22" s="51">
        <v>0.1901623035828986</v>
      </c>
      <c r="E22" s="52">
        <v>0.16389349039818393</v>
      </c>
      <c r="F22" s="11"/>
      <c r="G22" s="45" t="s">
        <v>2</v>
      </c>
      <c r="H22" s="56">
        <v>84.6821608040201</v>
      </c>
      <c r="I22" s="57">
        <v>94.317307692307693</v>
      </c>
    </row>
    <row r="23" spans="3:9" x14ac:dyDescent="0.3">
      <c r="D23" s="30"/>
      <c r="E23" s="30"/>
    </row>
  </sheetData>
  <mergeCells count="6">
    <mergeCell ref="C3:E3"/>
    <mergeCell ref="C11:E11"/>
    <mergeCell ref="C18:E18"/>
    <mergeCell ref="G3:I3"/>
    <mergeCell ref="G11:I11"/>
    <mergeCell ref="G18:I1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35BA-9CD6-4BA0-A4BF-EA20981EC919}">
  <dimension ref="A1:B1"/>
  <sheetViews>
    <sheetView zoomScale="70" zoomScaleNormal="70" workbookViewId="0">
      <selection activeCell="Z14" sqref="Z14"/>
    </sheetView>
  </sheetViews>
  <sheetFormatPr defaultRowHeight="14.4" x14ac:dyDescent="0.3"/>
  <cols>
    <col min="1" max="1" width="2.21875" style="1" customWidth="1"/>
    <col min="2" max="16384" width="8.88671875" style="1"/>
  </cols>
  <sheetData>
    <row r="1" spans="1:2" ht="21" x14ac:dyDescent="0.4">
      <c r="A1" s="3"/>
      <c r="B1" s="4" t="s">
        <v>41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BEEEA-6300-4789-B508-D905E98B9C08}">
  <dimension ref="B1:K54"/>
  <sheetViews>
    <sheetView showGridLines="0" tabSelected="1" topLeftCell="A17" zoomScale="80" zoomScaleNormal="80" workbookViewId="0">
      <selection activeCell="G40" sqref="G40"/>
    </sheetView>
  </sheetViews>
  <sheetFormatPr defaultRowHeight="14.4" x14ac:dyDescent="0.3"/>
  <cols>
    <col min="1" max="1" width="2" style="1" customWidth="1"/>
    <col min="2" max="2" width="17" style="1" customWidth="1"/>
    <col min="3" max="3" width="117.5546875" style="1" customWidth="1"/>
    <col min="4" max="16384" width="8.88671875" style="1"/>
  </cols>
  <sheetData>
    <row r="1" spans="2:3" ht="21" x14ac:dyDescent="0.4">
      <c r="B1" s="4" t="s">
        <v>44</v>
      </c>
    </row>
    <row r="3" spans="2:3" x14ac:dyDescent="0.3">
      <c r="B3" s="82" t="s">
        <v>48</v>
      </c>
      <c r="C3" s="74"/>
    </row>
    <row r="4" spans="2:3" x14ac:dyDescent="0.3">
      <c r="B4" s="83" t="s">
        <v>61</v>
      </c>
      <c r="C4" s="74"/>
    </row>
    <row r="5" spans="2:3" x14ac:dyDescent="0.3">
      <c r="B5"/>
      <c r="C5"/>
    </row>
    <row r="6" spans="2:3" x14ac:dyDescent="0.3">
      <c r="B6" s="77" t="s">
        <v>49</v>
      </c>
      <c r="C6" s="74"/>
    </row>
    <row r="7" spans="2:3" x14ac:dyDescent="0.3">
      <c r="B7" s="81" t="s">
        <v>50</v>
      </c>
      <c r="C7" s="74"/>
    </row>
    <row r="8" spans="2:3" ht="46.8" customHeight="1" x14ac:dyDescent="0.3">
      <c r="B8" s="76" t="s">
        <v>62</v>
      </c>
      <c r="C8" s="74"/>
    </row>
    <row r="9" spans="2:3" x14ac:dyDescent="0.3">
      <c r="B9" s="81" t="s">
        <v>51</v>
      </c>
      <c r="C9" s="74"/>
    </row>
    <row r="10" spans="2:3" ht="40.799999999999997" customHeight="1" x14ac:dyDescent="0.3">
      <c r="B10" s="76" t="s">
        <v>52</v>
      </c>
      <c r="C10" s="74"/>
    </row>
    <row r="11" spans="2:3" x14ac:dyDescent="0.3">
      <c r="B11"/>
      <c r="C11"/>
    </row>
    <row r="12" spans="2:3" x14ac:dyDescent="0.3">
      <c r="B12" s="77" t="s">
        <v>53</v>
      </c>
      <c r="C12" s="74"/>
    </row>
    <row r="13" spans="2:3" x14ac:dyDescent="0.3">
      <c r="B13" s="22" t="s">
        <v>54</v>
      </c>
      <c r="C13" s="22" t="s">
        <v>55</v>
      </c>
    </row>
    <row r="14" spans="2:3" ht="64.95" customHeight="1" x14ac:dyDescent="0.3">
      <c r="B14" s="23" t="s">
        <v>22</v>
      </c>
      <c r="C14" s="25" t="s">
        <v>69</v>
      </c>
    </row>
    <row r="15" spans="2:3" ht="64.95" customHeight="1" x14ac:dyDescent="0.3">
      <c r="B15" s="23" t="s">
        <v>10</v>
      </c>
      <c r="C15" s="25" t="s">
        <v>70</v>
      </c>
    </row>
    <row r="16" spans="2:3" ht="81.599999999999994" customHeight="1" x14ac:dyDescent="0.3">
      <c r="B16" s="23" t="s">
        <v>23</v>
      </c>
      <c r="C16" s="25" t="s">
        <v>72</v>
      </c>
    </row>
    <row r="17" spans="2:11" ht="88.8" customHeight="1" x14ac:dyDescent="0.3">
      <c r="B17" s="23" t="s">
        <v>24</v>
      </c>
      <c r="C17" s="25" t="s">
        <v>71</v>
      </c>
      <c r="E17" s="58"/>
      <c r="F17" s="59"/>
      <c r="G17" s="59"/>
      <c r="H17" s="59"/>
      <c r="I17" s="59"/>
      <c r="J17" s="59"/>
      <c r="K17" s="59"/>
    </row>
    <row r="18" spans="2:11" x14ac:dyDescent="0.3">
      <c r="B18"/>
      <c r="C18"/>
    </row>
    <row r="19" spans="2:11" x14ac:dyDescent="0.3">
      <c r="B19" s="77" t="s">
        <v>56</v>
      </c>
      <c r="C19" s="74"/>
    </row>
    <row r="20" spans="2:11" x14ac:dyDescent="0.3">
      <c r="B20" s="22" t="s">
        <v>54</v>
      </c>
      <c r="C20" s="22" t="s">
        <v>55</v>
      </c>
    </row>
    <row r="21" spans="2:11" ht="84" x14ac:dyDescent="0.3">
      <c r="B21" s="23" t="s">
        <v>57</v>
      </c>
      <c r="C21" s="25" t="s">
        <v>73</v>
      </c>
    </row>
    <row r="22" spans="2:11" ht="72" x14ac:dyDescent="0.3">
      <c r="B22" s="23" t="s">
        <v>29</v>
      </c>
      <c r="C22" s="25" t="s">
        <v>74</v>
      </c>
      <c r="D22" s="60"/>
      <c r="E22" s="60"/>
      <c r="F22" s="60"/>
      <c r="G22" s="60"/>
      <c r="H22" s="60"/>
      <c r="I22" s="60"/>
      <c r="J22" s="60"/>
      <c r="K22" s="60"/>
    </row>
    <row r="23" spans="2:11" ht="64.95" customHeight="1" x14ac:dyDescent="0.3">
      <c r="B23" s="23" t="s">
        <v>30</v>
      </c>
      <c r="C23" s="25" t="s">
        <v>75</v>
      </c>
      <c r="E23" s="60"/>
      <c r="F23" s="60"/>
      <c r="G23" s="60"/>
      <c r="H23" s="60"/>
      <c r="I23" s="60"/>
      <c r="J23" s="60"/>
      <c r="K23" s="60"/>
    </row>
    <row r="24" spans="2:11" x14ac:dyDescent="0.3">
      <c r="B24"/>
      <c r="C24"/>
    </row>
    <row r="25" spans="2:11" x14ac:dyDescent="0.3">
      <c r="B25" s="77" t="s">
        <v>58</v>
      </c>
      <c r="C25" s="74"/>
    </row>
    <row r="26" spans="2:11" x14ac:dyDescent="0.3">
      <c r="B26" s="22" t="s">
        <v>54</v>
      </c>
      <c r="C26" s="22" t="s">
        <v>55</v>
      </c>
    </row>
    <row r="27" spans="2:11" ht="87.6" customHeight="1" x14ac:dyDescent="0.3">
      <c r="B27" s="64" t="s">
        <v>32</v>
      </c>
      <c r="C27" s="25" t="s">
        <v>76</v>
      </c>
    </row>
    <row r="28" spans="2:11" ht="96" x14ac:dyDescent="0.3">
      <c r="B28" s="65" t="s">
        <v>33</v>
      </c>
      <c r="C28" s="63" t="s">
        <v>77</v>
      </c>
    </row>
    <row r="29" spans="2:11" x14ac:dyDescent="0.3">
      <c r="B29" s="62"/>
      <c r="C29" s="61"/>
    </row>
    <row r="30" spans="2:11" x14ac:dyDescent="0.3">
      <c r="B30" s="79" t="s">
        <v>79</v>
      </c>
      <c r="C30" s="61"/>
    </row>
    <row r="31" spans="2:11" x14ac:dyDescent="0.3">
      <c r="B31" s="79"/>
      <c r="C31" s="61"/>
    </row>
    <row r="32" spans="2:11" x14ac:dyDescent="0.3">
      <c r="B32" s="79"/>
      <c r="C32" s="61"/>
    </row>
    <row r="33" spans="2:3" x14ac:dyDescent="0.3">
      <c r="B33" s="79"/>
      <c r="C33" s="61"/>
    </row>
    <row r="34" spans="2:3" x14ac:dyDescent="0.3">
      <c r="B34" s="79"/>
      <c r="C34" s="61"/>
    </row>
    <row r="35" spans="2:3" x14ac:dyDescent="0.3">
      <c r="B35" s="79"/>
      <c r="C35" s="61"/>
    </row>
    <row r="36" spans="2:3" x14ac:dyDescent="0.3">
      <c r="B36" s="79"/>
      <c r="C36" s="61"/>
    </row>
    <row r="37" spans="2:3" x14ac:dyDescent="0.3">
      <c r="B37" s="79"/>
      <c r="C37" s="61"/>
    </row>
    <row r="38" spans="2:3" x14ac:dyDescent="0.3">
      <c r="B38" s="79"/>
      <c r="C38" s="61"/>
    </row>
    <row r="39" spans="2:3" x14ac:dyDescent="0.3">
      <c r="B39" s="79"/>
      <c r="C39" s="61"/>
    </row>
    <row r="40" spans="2:3" x14ac:dyDescent="0.3">
      <c r="B40" s="79"/>
      <c r="C40" s="61"/>
    </row>
    <row r="41" spans="2:3" ht="10.8" customHeight="1" x14ac:dyDescent="0.3">
      <c r="B41" s="79"/>
      <c r="C41" s="61"/>
    </row>
    <row r="42" spans="2:3" x14ac:dyDescent="0.3">
      <c r="B42" s="79"/>
      <c r="C42" s="61"/>
    </row>
    <row r="43" spans="2:3" x14ac:dyDescent="0.3">
      <c r="B43" s="79"/>
      <c r="C43" s="61"/>
    </row>
    <row r="44" spans="2:3" x14ac:dyDescent="0.3">
      <c r="B44" s="79"/>
      <c r="C44" s="61"/>
    </row>
    <row r="45" spans="2:3" ht="15" customHeight="1" x14ac:dyDescent="0.3">
      <c r="B45" s="80"/>
      <c r="C45" s="61"/>
    </row>
    <row r="46" spans="2:3" x14ac:dyDescent="0.3">
      <c r="B46" s="78" t="s">
        <v>59</v>
      </c>
      <c r="C46" s="74"/>
    </row>
    <row r="47" spans="2:3" ht="227.4" customHeight="1" x14ac:dyDescent="0.3">
      <c r="B47" s="73" t="s">
        <v>78</v>
      </c>
      <c r="C47" s="74"/>
    </row>
    <row r="48" spans="2:3" ht="19.2" customHeight="1" x14ac:dyDescent="0.3">
      <c r="B48" s="75" t="s">
        <v>60</v>
      </c>
      <c r="C48" s="74"/>
    </row>
    <row r="54" spans="4:10" x14ac:dyDescent="0.3">
      <c r="D54" s="24"/>
      <c r="E54" s="24"/>
      <c r="F54" s="24"/>
      <c r="G54" s="24"/>
      <c r="H54" s="24"/>
      <c r="I54" s="24"/>
      <c r="J54" s="24"/>
    </row>
  </sheetData>
  <mergeCells count="14">
    <mergeCell ref="B9:C9"/>
    <mergeCell ref="B3:C3"/>
    <mergeCell ref="B4:C4"/>
    <mergeCell ref="B6:C6"/>
    <mergeCell ref="B7:C7"/>
    <mergeCell ref="B8:C8"/>
    <mergeCell ref="B47:C47"/>
    <mergeCell ref="B48:C48"/>
    <mergeCell ref="B10:C10"/>
    <mergeCell ref="B12:C12"/>
    <mergeCell ref="B19:C19"/>
    <mergeCell ref="B25:C25"/>
    <mergeCell ref="B46:C46"/>
    <mergeCell ref="B30:B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TCS Data</vt:lpstr>
      <vt:lpstr>Infosys Data</vt:lpstr>
      <vt:lpstr>Ratio Calculations</vt:lpstr>
      <vt:lpstr>Chart Data Sheet</vt:lpstr>
      <vt:lpstr>Charts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 GOVIL</dc:creator>
  <cp:lastModifiedBy>SIMRAN GOVIL</cp:lastModifiedBy>
  <dcterms:created xsi:type="dcterms:W3CDTF">2026-04-30T18:58:17Z</dcterms:created>
  <dcterms:modified xsi:type="dcterms:W3CDTF">2026-06-09T16:24:14Z</dcterms:modified>
</cp:coreProperties>
</file>